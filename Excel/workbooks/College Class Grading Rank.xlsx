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João Martins\Desktop\Daniela's Grading Project\Excel Project\"/>
    </mc:Choice>
  </mc:AlternateContent>
  <xr:revisionPtr revIDLastSave="0" documentId="13_ncr:1_{D510A59E-9AB0-4451-AAD3-033EC14580C6}" xr6:coauthVersionLast="47" xr6:coauthVersionMax="47" xr10:uidLastSave="{00000000-0000-0000-0000-000000000000}"/>
  <bookViews>
    <workbookView xWindow="-120" yWindow="-120" windowWidth="38640" windowHeight="21120" activeTab="14" xr2:uid="{00000000-000D-0000-FFFF-FFFF00000000}"/>
  </bookViews>
  <sheets>
    <sheet name="Student Names" sheetId="12" r:id="rId1"/>
    <sheet name="Pauta 1" sheetId="8" r:id="rId2"/>
    <sheet name="Pauta 2" sheetId="5" r:id="rId3"/>
    <sheet name="Pauta 3" sheetId="13" r:id="rId4"/>
    <sheet name="Pauta 4" sheetId="14" r:id="rId5"/>
    <sheet name="Pauta 5" sheetId="15" r:id="rId6"/>
    <sheet name="Pauta 6" sheetId="17" r:id="rId7"/>
    <sheet name="Exam 1" sheetId="21" r:id="rId8"/>
    <sheet name="Exam 2" sheetId="22" r:id="rId9"/>
    <sheet name="Exam 3" sheetId="23" r:id="rId10"/>
    <sheet name="Exam 4" sheetId="24" r:id="rId11"/>
    <sheet name="Exam 5" sheetId="25" r:id="rId12"/>
    <sheet name="Exam 6" sheetId="26" r:id="rId13"/>
    <sheet name="AVGs" sheetId="18" r:id="rId14"/>
    <sheet name="Ranking" sheetId="20" r:id="rId15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003  Page 1   4_1e164008-d6f3-42ef-9c14-a0c1a5c8fb62" name="Table003  Page 1   4" connection="Query - Table003 (Page 1) (4)"/>
          <x15:modelTable id="Table006  Page 2_d9099eb9-b196-4c53-884a-eec750f9a805" name="Table006  Page 2" connection="Query - Table006 (Page 2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8" l="1" a="1"/>
  <c r="A2" i="18" a="1"/>
  <c r="D2" i="18" l="1" a="1"/>
  <c r="C2" i="18" a="1"/>
  <c r="G2" i="18" a="1"/>
  <c r="F2" i="18" a="1"/>
  <c r="H2" i="18" a="1"/>
  <c r="E2" i="18" a="1"/>
  <c r="I4" i="18" l="1"/>
  <c r="I5" i="18"/>
  <c r="I7" i="18"/>
  <c r="I9" i="18"/>
  <c r="I10" i="18"/>
  <c r="I11" i="18"/>
  <c r="I13" i="18"/>
  <c r="I6" i="18"/>
  <c r="I8" i="18"/>
  <c r="I12" i="18"/>
  <c r="I14" i="18"/>
  <c r="I16" i="18"/>
  <c r="I17" i="18"/>
  <c r="I19" i="18"/>
  <c r="I21" i="18"/>
  <c r="I23" i="18"/>
  <c r="I25" i="18"/>
  <c r="I31" i="18"/>
  <c r="I3" i="18"/>
  <c r="I18" i="18"/>
  <c r="I20" i="18"/>
  <c r="I22" i="18"/>
  <c r="I24" i="18"/>
  <c r="I26" i="18"/>
  <c r="I27" i="18"/>
  <c r="I28" i="18"/>
  <c r="I29" i="18"/>
  <c r="I15" i="18"/>
  <c r="I30" i="18"/>
  <c r="I2" i="18"/>
  <c r="J3" i="18"/>
  <c r="J4" i="18"/>
  <c r="J9" i="18"/>
  <c r="J12" i="18"/>
  <c r="J17" i="18"/>
  <c r="J30" i="18"/>
  <c r="J5" i="18"/>
  <c r="J6" i="18"/>
  <c r="J16" i="18"/>
  <c r="J24" i="18"/>
  <c r="J28" i="18"/>
  <c r="J31" i="18"/>
  <c r="J7" i="18"/>
  <c r="J8" i="18"/>
  <c r="J14" i="18"/>
  <c r="J25" i="18"/>
  <c r="J29" i="18"/>
  <c r="J10" i="18"/>
  <c r="J11" i="18"/>
  <c r="J2" i="18"/>
  <c r="A2" i="20" s="1" a="1"/>
  <c r="J13" i="18"/>
  <c r="J15" i="18"/>
  <c r="J18" i="18"/>
  <c r="J19" i="18"/>
  <c r="J20" i="18"/>
  <c r="J21" i="18"/>
  <c r="J22" i="18"/>
  <c r="J23" i="18"/>
  <c r="J26" i="18"/>
  <c r="J27" i="1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A65721-C179-4B52-8D47-BBDAD9AADC67}" keepAlive="1" name="Query - Table002 (Page 1)" description="Connection to the 'Table002 (Page 1)' query in the workbook." type="5" refreshedVersion="8" background="1" saveData="1">
    <dbPr connection="Provider=Microsoft.Mashup.OleDb.1;Data Source=$Workbook$;Location=&quot;Table002 (Page 1)&quot;;Extended Properties=&quot;&quot;" command="SELECT * FROM [Table002 (Page 1)]"/>
  </connection>
  <connection id="2" xr16:uid="{68DD5E9E-00BA-4805-AB62-ED29AF329453}" keepAlive="1" name="Query - Table002 (Page 1) (2)" description="Connection to the 'Table002 (Page 1) (2)' query in the workbook." type="5" refreshedVersion="8" background="1" saveData="1">
    <dbPr connection="Provider=Microsoft.Mashup.OleDb.1;Data Source=$Workbook$;Location=&quot;Table002 (Page 1) (2)&quot;;Extended Properties=&quot;&quot;" command="SELECT * FROM [Table002 (Page 1) (2)]"/>
  </connection>
  <connection id="3" xr16:uid="{6B13B229-86F5-4C5C-9E8B-B59291265F23}" keepAlive="1" name="Query - Table002 (Page 1) (3)" description="Connection to the 'Table002 (Page 1) (3)' query in the workbook." type="5" refreshedVersion="8" background="1" saveData="1">
    <dbPr connection="Provider=Microsoft.Mashup.OleDb.1;Data Source=$Workbook$;Location=&quot;Table002 (Page 1) (3)&quot;;Extended Properties=&quot;&quot;" command="SELECT * FROM [Table002 (Page 1) (3)]"/>
  </connection>
  <connection id="4" xr16:uid="{6D43B181-7701-47A5-A8CD-A858777DF188}" keepAlive="1" name="Query - Table003 (Page 1)" description="Connection to the 'Table003 (Page 1)' query in the workbook." type="5" refreshedVersion="0" background="1">
    <dbPr connection="Provider=Microsoft.Mashup.OleDb.1;Data Source=$Workbook$;Location=&quot;Table003 (Page 1)&quot;;Extended Properties=&quot;&quot;" command="SELECT * FROM [Table003 (Page 1)]"/>
  </connection>
  <connection id="5" xr16:uid="{7C41DB73-2FBC-462D-A57E-3944E83B8EA0}" keepAlive="1" name="Query - Table003 (Page 1) (2)" description="Connection to the 'Table003 (Page 1) (2)' query in the workbook." type="5" refreshedVersion="0" background="1">
    <dbPr connection="Provider=Microsoft.Mashup.OleDb.1;Data Source=$Workbook$;Location=&quot;Table003 (Page 1) (2)&quot;;Extended Properties=&quot;&quot;" command="SELECT * FROM [Table003 (Page 1) (2)]"/>
  </connection>
  <connection id="6" xr16:uid="{537E3BBF-E2F2-4ADD-9E94-CFA62BE9ED36}" keepAlive="1" name="Query - Table003 (Page 1) (3)" description="Connection to the 'Table003 (Page 1) (3)' query in the workbook." type="5" refreshedVersion="0" background="1">
    <dbPr connection="Provider=Microsoft.Mashup.OleDb.1;Data Source=$Workbook$;Location=&quot;Table003 (Page 1) (3)&quot;;Extended Properties=&quot;&quot;" command="SELECT * FROM [Table003 (Page 1) (3)]"/>
  </connection>
  <connection id="7" xr16:uid="{4763A450-F4DC-470A-B2CB-E709F21844B7}" name="Query - Table003 (Page 1) (4)" description="Connection to the 'Table003 (Page 1) (4)' query in the workbook." type="100" refreshedVersion="8" minRefreshableVersion="5">
    <extLst>
      <ext xmlns:x15="http://schemas.microsoft.com/office/spreadsheetml/2010/11/main" uri="{DE250136-89BD-433C-8126-D09CA5730AF9}">
        <x15:connection id="6af015fc-5785-4e12-afaf-c52298585308"/>
      </ext>
    </extLst>
  </connection>
  <connection id="8" xr16:uid="{F442299B-3D6C-452F-86EF-FB3740B601BA}" keepAlive="1" name="Query - Table003 (Page 1) (5)" description="Connection to the 'Table003 (Page 1) (5)' query in the workbook." type="5" refreshedVersion="8" background="1" saveData="1">
    <dbPr connection="Provider=Microsoft.Mashup.OleDb.1;Data Source=$Workbook$;Location=&quot;Table003 (Page 1) (5)&quot;;Extended Properties=&quot;&quot;" command="SELECT * FROM [Table003 (Page 1) (5)]"/>
  </connection>
  <connection id="9" xr16:uid="{459517F0-D294-4C61-A4EF-C43B39518A7B}" keepAlive="1" name="Query - Table003 (Page 1) (6)" description="Connection to the 'Table003 (Page 1) (6)' query in the workbook." type="5" refreshedVersion="8" background="1" saveData="1">
    <dbPr connection="Provider=Microsoft.Mashup.OleDb.1;Data Source=$Workbook$;Location=&quot;Table003 (Page 1) (6)&quot;;Extended Properties=&quot;&quot;" command="SELECT * FROM [Table003 (Page 1) (6)]"/>
  </connection>
  <connection id="10" xr16:uid="{2F660039-605E-4EFA-95B0-EC6EFBD5C54D}" name="Query - Table006 (Page 2)" description="Connection to the 'Table006 (Page 2)' query in the workbook." type="100" refreshedVersion="8" minRefreshableVersion="5">
    <extLst>
      <ext xmlns:x15="http://schemas.microsoft.com/office/spreadsheetml/2010/11/main" uri="{DE250136-89BD-433C-8126-D09CA5730AF9}">
        <x15:connection id="ef819588-877c-4f8c-9e0d-b5f31ccb2137"/>
      </ext>
    </extLst>
  </connection>
  <connection id="11" xr16:uid="{B328B69B-E6E1-471C-BD11-8EC3FC3004BA}" keepAlive="1" name="Query - Table006 (Page 2) (2)" description="Connection to the 'Table006 (Page 2) (2)' query in the workbook." type="5" refreshedVersion="8" background="1" saveData="1">
    <dbPr connection="Provider=Microsoft.Mashup.OleDb.1;Data Source=$Workbook$;Location=&quot;Table006 (Page 2) (2)&quot;;Extended Properties=&quot;&quot;" command="SELECT * FROM [Table006 (Page 2) (2)]"/>
  </connection>
  <connection id="12" xr16:uid="{C6812157-3F55-42DF-B4EE-B8ED3ABCCBD7}" keepAlive="1" name="Query - Table006 (Page 2) (3)" description="Connection to the 'Table006 (Page 2) (3)' query in the workbook." type="5" refreshedVersion="8" background="1" saveData="1">
    <dbPr connection="Provider=Microsoft.Mashup.OleDb.1;Data Source=$Workbook$;Location=&quot;Table006 (Page 2) (3)&quot;;Extended Properties=&quot;&quot;" command="SELECT * FROM [Table006 (Page 2) (3)]"/>
  </connection>
  <connection id="13" xr16:uid="{2BB5361B-45B7-46F0-A279-9672F36B32AA}" keepAlive="1" name="Query - Table006 (Page 2) (4)" description="Connection to the 'Table006 (Page 2) (4)' query in the workbook." type="5" refreshedVersion="8" background="1" saveData="1">
    <dbPr connection="Provider=Microsoft.Mashup.OleDb.1;Data Source=$Workbook$;Location=&quot;Table006 (Page 2) (4)&quot;;Extended Properties=&quot;&quot;" command="SELECT * FROM [Table006 (Page 2) (4)]"/>
  </connection>
  <connection id="14" xr16:uid="{3FF98851-E9A9-44CB-AA85-45E85B90D1B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<sst xmlns="http://schemas.openxmlformats.org/spreadsheetml/2006/main" count="58" uniqueCount="42">
  <si>
    <t>TERESA MARIA BRANCO CANDEIAS</t>
  </si>
  <si>
    <t>CAROLINA VELHINHO DE ABREU PIMENTA</t>
  </si>
  <si>
    <t>RITA ISABEL DUARTE CAVACO</t>
  </si>
  <si>
    <t>Grade</t>
  </si>
  <si>
    <t>JANETE LOURENÇO GUERREIRO</t>
  </si>
  <si>
    <t>JESSICA ALEXANDRA SANTOS PALMEIRO</t>
  </si>
  <si>
    <t>SOFIA MARGARIDA LEITE GONÇALVES</t>
  </si>
  <si>
    <t>MARIANA FILIPA COELHO GONÇALVES</t>
  </si>
  <si>
    <t>JOÃO PEDRO CANTANTE CORDEIRO</t>
  </si>
  <si>
    <t>CÁTIA SOFIA ROQUE DIAS</t>
  </si>
  <si>
    <t>DANIELA SOFIA GUIA LOPES CALHAU</t>
  </si>
  <si>
    <t>DIOGO ALEXANDRE TREJEIRA SERRA</t>
  </si>
  <si>
    <t>CATARINA ISABEL MARTINS ENCARNAÇÃO</t>
  </si>
  <si>
    <t>INÊS JOSÉ CONDEÇA BARRADAS</t>
  </si>
  <si>
    <t>ANAÍSA FIRMINO MARTINS DIOGO</t>
  </si>
  <si>
    <t>CATARINA ANA FERNANDES PINTO</t>
  </si>
  <si>
    <t>LINA SHALAYKO</t>
  </si>
  <si>
    <t>RITA VIEIRA SILVA</t>
  </si>
  <si>
    <t>ALICE DO CARMO PALMA</t>
  </si>
  <si>
    <t>BEATRIZ ALEXANDRA CAMPOS GONÇALVES</t>
  </si>
  <si>
    <t>MADALENA LESTON MACHADO PEREIRA</t>
  </si>
  <si>
    <t>CATARINA MOURÃO MARQUES</t>
  </si>
  <si>
    <t>DANIELA SOFIA RODRIGUES AUGUSTO</t>
  </si>
  <si>
    <t>Student Name</t>
  </si>
  <si>
    <t>JAISMÉLIA PINTO FENIX</t>
  </si>
  <si>
    <t>RENAN CARREIRO ALVES</t>
  </si>
  <si>
    <t>MARIA CATHERINE LACERDA ALBUQUERQUE</t>
  </si>
  <si>
    <t>ISADORA RODRIGUES ROSSI</t>
  </si>
  <si>
    <t>LIVIA RUSU</t>
  </si>
  <si>
    <t>SÉRGIO MAURÍCIO RAMADE BORDALLO</t>
  </si>
  <si>
    <t>TELMA CARINA MARCELO FERNANDES</t>
  </si>
  <si>
    <t>JOANA SOFIA DE MAGALHÃES ANTUNES</t>
  </si>
  <si>
    <t>Pauta 1</t>
  </si>
  <si>
    <t>Pauta 2</t>
  </si>
  <si>
    <t>Pauta 3</t>
  </si>
  <si>
    <t>Pauta 4</t>
  </si>
  <si>
    <t>Pauta 5</t>
  </si>
  <si>
    <t>Pauta 6</t>
  </si>
  <si>
    <t>Final Avg</t>
  </si>
  <si>
    <t>Avg</t>
  </si>
  <si>
    <t>Student id</t>
  </si>
  <si>
    <t>Pauta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</si>
</sst>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theme="9"/>
      </patternFill>
    </fill>
    <fill>
      <patternFill patternType="solid">
        <fgColor rgb="FFCCFFCC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8" fillId="7" borderId="0" applyNumberFormat="0" applyBorder="0" applyAlignment="0" applyProtection="0"/>
    <xf numFmtId="0" fontId="9" fillId="8" borderId="0" applyNumberFormat="0" applyBorder="0" applyAlignment="0" applyProtection="0"/>
    <xf numFmtId="0" fontId="10" fillId="9" borderId="8" applyNumberFormat="0" applyAlignment="0" applyProtection="0"/>
  </cellStyleXfs>
  <cellXfs count="27">
    <xf numFmtId="0" fontId="0" fillId="0" borderId="0" xfId="0"/>
    <xf numFmtId="0" fontId="1" fillId="5" borderId="1" xfId="0" applyFont="1" applyFill="1" applyBorder="1"/>
    <xf numFmtId="0" fontId="6" fillId="0" borderId="0" xfId="0" applyFont="1"/>
    <xf numFmtId="0" fontId="0" fillId="6" borderId="1" xfId="0" applyFill="1" applyBorder="1"/>
    <xf numFmtId="0" fontId="0" fillId="0" borderId="2" xfId="0" applyBorder="1"/>
    <xf numFmtId="0" fontId="0" fillId="0" borderId="3" xfId="0" applyBorder="1"/>
    <xf numFmtId="0" fontId="2" fillId="2" borderId="4" xfId="0" applyFont="1" applyFill="1" applyBorder="1"/>
    <xf numFmtId="0" fontId="2" fillId="2" borderId="5" xfId="0" applyFont="1" applyFill="1" applyBorder="1"/>
    <xf numFmtId="0" fontId="0" fillId="0" borderId="6" xfId="0" applyBorder="1"/>
    <xf numFmtId="0" fontId="0" fillId="0" borderId="7" xfId="0" applyBorder="1"/>
    <xf numFmtId="0" fontId="1" fillId="5" borderId="4" xfId="0" applyFont="1" applyFill="1" applyBorder="1"/>
    <xf numFmtId="0" fontId="1" fillId="5" borderId="5" xfId="0" applyFont="1" applyFill="1" applyBorder="1"/>
    <xf numFmtId="0" fontId="0" fillId="3" borderId="2" xfId="0" applyFill="1" applyBorder="1"/>
    <xf numFmtId="0" fontId="0" fillId="4" borderId="2" xfId="0" applyFill="1" applyBorder="1"/>
    <xf numFmtId="0" fontId="0" fillId="3" borderId="3" xfId="0" applyFill="1" applyBorder="1"/>
    <xf numFmtId="0" fontId="0" fillId="4" borderId="3" xfId="0" applyFill="1" applyBorder="1"/>
    <xf numFmtId="0" fontId="0" fillId="3" borderId="6" xfId="0" applyFill="1" applyBorder="1"/>
    <xf numFmtId="0" fontId="0" fillId="3" borderId="7" xfId="0" applyFill="1" applyBorder="1"/>
    <xf numFmtId="0" fontId="3" fillId="0" borderId="2" xfId="0" applyFont="1" applyBorder="1"/>
    <xf numFmtId="0" fontId="4" fillId="0" borderId="2" xfId="0" applyFont="1" applyBorder="1"/>
    <xf numFmtId="0" fontId="5" fillId="0" borderId="3" xfId="0" applyFont="1" applyBorder="1"/>
    <xf numFmtId="0" fontId="3" fillId="0" borderId="6" xfId="0" applyFont="1" applyBorder="1"/>
    <xf numFmtId="0" fontId="5" fillId="0" borderId="7" xfId="0" applyFont="1" applyBorder="1"/>
    <xf numFmtId="0" fontId="9" fillId="8" borderId="1" xfId="2" applyBorder="1"/>
    <xf numFmtId="0" fontId="8" fillId="7" borderId="1" xfId="1" applyBorder="1"/>
    <xf numFmtId="0" fontId="10" fillId="9" borderId="8" xfId="3"/>
    <xf numFmtId="0" fontId="0" fillId="0" borderId="1" xfId="0" applyBorder="1"/>
  </cellXfs>
  <cellStyles count="4">
    <cellStyle name="Bad" xfId="1" builtinId="27"/>
    <cellStyle name="Input" xfId="3" builtinId="20"/>
    <cellStyle name="Neutral" xfId="2" builtinId="28"/>
    <cellStyle name="Normal" xfId="0" builtinId="0"/>
  </cellStyles>
  <dxfs count="45"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rgb="FF00206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rgb="FF00206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rgb="FF00206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theme="9" tint="0.79998168889431442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9" tint="0.79998168889431442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rgb="FF00206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rgb="FF00206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powerPivotData" Target="model/item.data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100F6A-70A0-446C-8447-1A553DB8AD09}" name="StudentNames" displayName="StudentNames" ref="A1:B31" totalsRowShown="0" headerRowDxfId="44" headerRowBorderDxfId="43" tableBorderDxfId="42" totalsRowBorderDxfId="41">
  <autoFilter ref="A1:B31" xr:uid="{4B100F6A-70A0-446C-8447-1A553DB8AD09}"/>
  <tableColumns count="2">
    <tableColumn id="1" xr3:uid="{D9823ED2-3A62-4D84-99EB-730FBF12E763}" name="Student id" dataDxfId="40"/>
    <tableColumn id="2" xr3:uid="{DF03BB58-A442-4D1C-8BF5-B0CB102C88D6}" name="Student Name" dataDxfId="3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2D136D-E07A-4B66-A2C4-BC27898217BA}" name="Class1" displayName="Class1" ref="A1:B33" totalsRowShown="0" headerRowDxfId="38" headerRowBorderDxfId="37" tableBorderDxfId="36" totalsRowBorderDxfId="35">
  <autoFilter ref="A1:B33" xr:uid="{052D136D-E07A-4B66-A2C4-BC27898217BA}"/>
  <tableColumns count="2">
    <tableColumn id="1" xr3:uid="{C4D9DA77-487C-4A53-AEAB-CC5DADD998F4}" name="Student id" dataDxfId="34"/>
    <tableColumn id="2" xr3:uid="{12852495-8876-475B-9578-4A0DAE94AE61}" name="Grade" dataDxfId="3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7D680DF-6B83-4667-A241-8DD86E698E87}" name="Class2" displayName="Class2" ref="A1:B30" totalsRowShown="0" headerRowDxfId="32" headerRowBorderDxfId="31" tableBorderDxfId="30" totalsRowBorderDxfId="29">
  <autoFilter ref="A1:B30" xr:uid="{57D680DF-6B83-4667-A241-8DD86E698E87}"/>
  <tableColumns count="2">
    <tableColumn id="1" xr3:uid="{B9A7389F-728D-4B99-A86A-DA21DEB551EC}" name="Student id" dataDxfId="28"/>
    <tableColumn id="2" xr3:uid="{01F75C94-EEC2-4127-B2E7-459423FE204C}" name="Grade" dataDxfId="2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7FC0F43-4CD0-4121-929D-B569F409B89D}" name="Class3" displayName="Class3" ref="A1:B32" totalsRowShown="0" headerRowDxfId="26" headerRowBorderDxfId="25" tableBorderDxfId="24" totalsRowBorderDxfId="23">
  <autoFilter ref="A1:B32" xr:uid="{87FC0F43-4CD0-4121-929D-B569F409B89D}"/>
  <tableColumns count="2">
    <tableColumn id="1" xr3:uid="{0D524F5A-19FA-461A-A4EC-66B944758CF2}" name="Student id" dataDxfId="22"/>
    <tableColumn id="2" xr3:uid="{31C1FF86-31ED-481D-897C-F1BD1DA64007}" name="Grade" dataDxfId="2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B4AA07A-4F80-4D44-A915-731DEE36732B}" name="Class4" displayName="Class4" ref="A1:B17" totalsRowShown="0" headerRowDxfId="20" headerRowBorderDxfId="19" tableBorderDxfId="18" totalsRowBorderDxfId="17">
  <autoFilter ref="A1:B17" xr:uid="{7B4AA07A-4F80-4D44-A915-731DEE36732B}"/>
  <tableColumns count="2">
    <tableColumn id="1" xr3:uid="{11D45F68-0473-4729-B090-90D81EAA8D5E}" name="Student id" dataDxfId="16"/>
    <tableColumn id="2" xr3:uid="{38E058BE-BC5E-4DB6-A2C1-729D1383C436}" name="Grade" dataDxfId="1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967EF90-9114-4D86-82CC-3D54DFA7F909}" name="Class5" displayName="Class5" ref="A1:B16" totalsRowShown="0" headerRowDxfId="14" headerRowBorderDxfId="13" tableBorderDxfId="12" totalsRowBorderDxfId="11">
  <autoFilter ref="A1:B16" xr:uid="{1967EF90-9114-4D86-82CC-3D54DFA7F909}"/>
  <tableColumns count="2">
    <tableColumn id="1" xr3:uid="{9914366B-CD48-46FA-987C-A84ACF93FE47}" name="Student id" dataDxfId="10"/>
    <tableColumn id="2" xr3:uid="{1E9A4F90-CC6C-4A70-ADE8-8E30A8687FB1}" name="Grade" dataDxfId="9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48E7720-55B1-4687-A233-640025B73831}" name="Class6" displayName="Class6" ref="A1:B34" totalsRowShown="0" headerRowDxfId="8" headerRowBorderDxfId="7" tableBorderDxfId="6" totalsRowBorderDxfId="5">
  <autoFilter ref="A1:B34" xr:uid="{648E7720-55B1-4687-A233-640025B73831}"/>
  <tableColumns count="2">
    <tableColumn id="1" xr3:uid="{3A2C11CB-6BA4-4BBC-BE2A-F30D98DEA247}" name="Student id" dataDxfId="4"/>
    <tableColumn id="2" xr3:uid="{7FB83A7C-9487-445C-8BDA-A3E142045B82}" name="Grade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7C6E3-EDC1-4C3E-948E-1A19FC78152F}">
  <dimension ref="A1:B31"/>
  <sheetViews>
    <sheetView zoomScale="130" zoomScaleNormal="130" workbookViewId="0">
      <selection activeCell="A2" sqref="A2"/>
    </sheetView>
  </sheetViews>
  <sheetFormatPr defaultRowHeight="15" x14ac:dyDescent="0.25"/>
  <cols>
    <col min="1" max="1" width="13.7109375" customWidth="1"/>
    <col min="2" max="2" width="40.7109375" customWidth="1"/>
  </cols>
  <sheetData>
    <row r="1" spans="1:2" x14ac:dyDescent="0.25">
      <c r="A1" s="6" t="s">
        <v>40</v>
      </c>
      <c r="B1" s="7" t="s">
        <v>23</v>
      </c>
    </row>
    <row r="2" spans="1:2" x14ac:dyDescent="0.25">
      <c r="A2" s="4">
        <v>25427</v>
      </c>
      <c r="B2" s="5" t="s">
        <v>0</v>
      </c>
    </row>
    <row r="3" spans="1:2" x14ac:dyDescent="0.25">
      <c r="A3" s="4">
        <v>37840</v>
      </c>
      <c r="B3" s="5" t="s">
        <v>1</v>
      </c>
    </row>
    <row r="4" spans="1:2" x14ac:dyDescent="0.25">
      <c r="A4" s="4">
        <v>43962</v>
      </c>
      <c r="B4" s="5" t="s">
        <v>2</v>
      </c>
    </row>
    <row r="5" spans="1:2" x14ac:dyDescent="0.25">
      <c r="A5" s="4">
        <v>50056</v>
      </c>
      <c r="B5" s="5" t="s">
        <v>4</v>
      </c>
    </row>
    <row r="6" spans="1:2" x14ac:dyDescent="0.25">
      <c r="A6" s="4">
        <v>61482</v>
      </c>
      <c r="B6" s="5" t="s">
        <v>5</v>
      </c>
    </row>
    <row r="7" spans="1:2" x14ac:dyDescent="0.25">
      <c r="A7" s="4">
        <v>71077</v>
      </c>
      <c r="B7" s="5" t="s">
        <v>6</v>
      </c>
    </row>
    <row r="8" spans="1:2" x14ac:dyDescent="0.25">
      <c r="A8" s="4">
        <v>75206</v>
      </c>
      <c r="B8" s="5" t="s">
        <v>7</v>
      </c>
    </row>
    <row r="9" spans="1:2" x14ac:dyDescent="0.25">
      <c r="A9" s="4">
        <v>75293</v>
      </c>
      <c r="B9" s="5" t="s">
        <v>8</v>
      </c>
    </row>
    <row r="10" spans="1:2" x14ac:dyDescent="0.25">
      <c r="A10" s="4">
        <v>76045</v>
      </c>
      <c r="B10" s="5" t="s">
        <v>9</v>
      </c>
    </row>
    <row r="11" spans="1:2" x14ac:dyDescent="0.25">
      <c r="A11" s="4">
        <v>79511</v>
      </c>
      <c r="B11" s="5" t="s">
        <v>10</v>
      </c>
    </row>
    <row r="12" spans="1:2" x14ac:dyDescent="0.25">
      <c r="A12" s="4">
        <v>79545</v>
      </c>
      <c r="B12" s="5" t="s">
        <v>11</v>
      </c>
    </row>
    <row r="13" spans="1:2" x14ac:dyDescent="0.25">
      <c r="A13" s="4">
        <v>79585</v>
      </c>
      <c r="B13" s="5" t="s">
        <v>12</v>
      </c>
    </row>
    <row r="14" spans="1:2" x14ac:dyDescent="0.25">
      <c r="A14" s="4">
        <v>79601</v>
      </c>
      <c r="B14" s="5" t="s">
        <v>13</v>
      </c>
    </row>
    <row r="15" spans="1:2" x14ac:dyDescent="0.25">
      <c r="A15" s="4">
        <v>79618</v>
      </c>
      <c r="B15" s="5" t="s">
        <v>14</v>
      </c>
    </row>
    <row r="16" spans="1:2" x14ac:dyDescent="0.25">
      <c r="A16" s="4">
        <v>79676</v>
      </c>
      <c r="B16" s="5" t="s">
        <v>15</v>
      </c>
    </row>
    <row r="17" spans="1:2" x14ac:dyDescent="0.25">
      <c r="A17" s="4">
        <v>79679</v>
      </c>
      <c r="B17" s="5" t="s">
        <v>16</v>
      </c>
    </row>
    <row r="18" spans="1:2" x14ac:dyDescent="0.25">
      <c r="A18" s="4">
        <v>79684</v>
      </c>
      <c r="B18" s="5" t="s">
        <v>17</v>
      </c>
    </row>
    <row r="19" spans="1:2" x14ac:dyDescent="0.25">
      <c r="A19" s="4">
        <v>79694</v>
      </c>
      <c r="B19" s="5" t="s">
        <v>18</v>
      </c>
    </row>
    <row r="20" spans="1:2" x14ac:dyDescent="0.25">
      <c r="A20" s="4">
        <v>80551</v>
      </c>
      <c r="B20" s="5" t="s">
        <v>19</v>
      </c>
    </row>
    <row r="21" spans="1:2" x14ac:dyDescent="0.25">
      <c r="A21" s="4">
        <v>81402</v>
      </c>
      <c r="B21" s="5" t="s">
        <v>20</v>
      </c>
    </row>
    <row r="22" spans="1:2" x14ac:dyDescent="0.25">
      <c r="A22" s="4">
        <v>81407</v>
      </c>
      <c r="B22" s="5" t="s">
        <v>21</v>
      </c>
    </row>
    <row r="23" spans="1:2" x14ac:dyDescent="0.25">
      <c r="A23" s="4">
        <v>81768</v>
      </c>
      <c r="B23" s="5" t="s">
        <v>22</v>
      </c>
    </row>
    <row r="24" spans="1:2" x14ac:dyDescent="0.25">
      <c r="A24" s="4">
        <v>91681</v>
      </c>
      <c r="B24" s="5" t="s">
        <v>24</v>
      </c>
    </row>
    <row r="25" spans="1:2" x14ac:dyDescent="0.25">
      <c r="A25" s="4">
        <v>91683</v>
      </c>
      <c r="B25" s="5" t="s">
        <v>25</v>
      </c>
    </row>
    <row r="26" spans="1:2" x14ac:dyDescent="0.25">
      <c r="A26" s="4">
        <v>91684</v>
      </c>
      <c r="B26" s="5" t="s">
        <v>26</v>
      </c>
    </row>
    <row r="27" spans="1:2" x14ac:dyDescent="0.25">
      <c r="A27" s="4">
        <v>91685</v>
      </c>
      <c r="B27" s="5" t="s">
        <v>27</v>
      </c>
    </row>
    <row r="28" spans="1:2" x14ac:dyDescent="0.25">
      <c r="A28" s="4">
        <v>92026</v>
      </c>
      <c r="B28" s="5" t="s">
        <v>28</v>
      </c>
    </row>
    <row r="29" spans="1:2" x14ac:dyDescent="0.25">
      <c r="A29" s="4">
        <v>92027</v>
      </c>
      <c r="B29" s="5" t="s">
        <v>29</v>
      </c>
    </row>
    <row r="30" spans="1:2" x14ac:dyDescent="0.25">
      <c r="A30" s="4">
        <v>92029</v>
      </c>
      <c r="B30" s="5" t="s">
        <v>30</v>
      </c>
    </row>
    <row r="31" spans="1:2" x14ac:dyDescent="0.25">
      <c r="A31" s="8">
        <v>92244</v>
      </c>
      <c r="B31" s="9" t="s">
        <v>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F8012-200E-43ED-91C5-A9E87F756D5D}">
  <dimension ref="A1:D34"/>
  <sheetViews>
    <sheetView topLeftCell="A10" zoomScale="115" zoomScaleNormal="115" workbookViewId="0">
      <selection activeCell="C14" sqref="C14"/>
    </sheetView>
  </sheetViews>
  <sheetFormatPr defaultRowHeight="15" x14ac:dyDescent="0.25"/>
  <cols>
    <col min="1" max="1" width="13.7109375" customWidth="1"/>
    <col min="2" max="2" width="10.7109375" customWidth="1"/>
    <col min="3" max="3" width="26.42578125" bestFit="1" customWidth="1"/>
    <col min="4" max="4" width="13.85546875" bestFit="1" customWidth="1"/>
  </cols>
  <sheetData>
    <row r="1" spans="1:4" x14ac:dyDescent="0.25">
      <c r="A1" s="6" t="s">
        <v>40</v>
      </c>
      <c r="B1" s="7" t="s">
        <v>3</v>
      </c>
      <c r="D1" s="2"/>
    </row>
    <row r="2" spans="1:4" x14ac:dyDescent="0.25">
      <c r="A2" s="4">
        <v>25427</v>
      </c>
      <c r="B2" s="5">
        <v>16</v>
      </c>
      <c r="D2" s="2"/>
    </row>
    <row r="3" spans="1:4" x14ac:dyDescent="0.25">
      <c r="A3" s="4">
        <v>37840</v>
      </c>
      <c r="B3" s="5">
        <v>18</v>
      </c>
      <c r="D3" s="2"/>
    </row>
    <row r="4" spans="1:4" x14ac:dyDescent="0.25">
      <c r="A4" s="4">
        <v>43962</v>
      </c>
      <c r="B4" s="5">
        <v>17</v>
      </c>
      <c r="D4" s="2"/>
    </row>
    <row r="5" spans="1:4" x14ac:dyDescent="0.25">
      <c r="A5" s="4">
        <v>50056</v>
      </c>
      <c r="B5" s="5">
        <v>17</v>
      </c>
      <c r="D5" s="2"/>
    </row>
    <row r="6" spans="1:4" x14ac:dyDescent="0.25">
      <c r="A6" s="4">
        <v>61482</v>
      </c>
      <c r="B6" s="5">
        <v>19</v>
      </c>
      <c r="D6" s="2"/>
    </row>
    <row r="7" spans="1:4" x14ac:dyDescent="0.25">
      <c r="A7" s="4">
        <v>71077</v>
      </c>
      <c r="B7" s="5">
        <v>19</v>
      </c>
      <c r="D7" s="2"/>
    </row>
    <row r="8" spans="1:4" x14ac:dyDescent="0.25">
      <c r="A8" s="4">
        <v>75206</v>
      </c>
      <c r="B8" s="5">
        <v>17</v>
      </c>
      <c r="D8" s="2"/>
    </row>
    <row r="9" spans="1:4" x14ac:dyDescent="0.25">
      <c r="A9" s="4">
        <v>75293</v>
      </c>
      <c r="B9" s="5">
        <v>17</v>
      </c>
      <c r="D9" s="2"/>
    </row>
    <row r="10" spans="1:4" x14ac:dyDescent="0.25">
      <c r="A10" s="4">
        <v>76045</v>
      </c>
      <c r="B10" s="5">
        <v>18</v>
      </c>
      <c r="D10" s="2"/>
    </row>
    <row r="11" spans="1:4" x14ac:dyDescent="0.25">
      <c r="A11" s="4">
        <v>76060</v>
      </c>
      <c r="B11" s="5"/>
      <c r="D11" s="2"/>
    </row>
    <row r="12" spans="1:4" x14ac:dyDescent="0.25">
      <c r="A12" s="4">
        <v>79511</v>
      </c>
      <c r="B12" s="5">
        <v>18</v>
      </c>
      <c r="D12" s="2"/>
    </row>
    <row r="13" spans="1:4" x14ac:dyDescent="0.25">
      <c r="A13" s="4">
        <v>79516</v>
      </c>
      <c r="B13" s="5"/>
      <c r="D13" s="2"/>
    </row>
    <row r="14" spans="1:4" x14ac:dyDescent="0.25">
      <c r="A14" s="4">
        <v>79545</v>
      </c>
      <c r="B14" s="5">
        <v>17</v>
      </c>
      <c r="D14" s="2"/>
    </row>
    <row r="15" spans="1:4" x14ac:dyDescent="0.25">
      <c r="A15" s="4">
        <v>79585</v>
      </c>
      <c r="B15" s="5">
        <v>18</v>
      </c>
      <c r="D15" s="2"/>
    </row>
    <row r="16" spans="1:4" x14ac:dyDescent="0.25">
      <c r="A16" s="4">
        <v>79601</v>
      </c>
      <c r="B16" s="5">
        <v>19</v>
      </c>
      <c r="D16" s="2"/>
    </row>
    <row r="17" spans="1:4" x14ac:dyDescent="0.25">
      <c r="A17" s="4">
        <v>79618</v>
      </c>
      <c r="B17" s="5">
        <v>17</v>
      </c>
      <c r="D17" s="2"/>
    </row>
    <row r="18" spans="1:4" x14ac:dyDescent="0.25">
      <c r="A18" s="4">
        <v>79676</v>
      </c>
      <c r="B18" s="5">
        <v>19</v>
      </c>
      <c r="D18" s="2"/>
    </row>
    <row r="19" spans="1:4" x14ac:dyDescent="0.25">
      <c r="A19" s="4">
        <v>79679</v>
      </c>
      <c r="B19" s="5">
        <v>18</v>
      </c>
      <c r="D19" s="2"/>
    </row>
    <row r="20" spans="1:4" x14ac:dyDescent="0.25">
      <c r="A20" s="4">
        <v>79684</v>
      </c>
      <c r="B20" s="5">
        <v>18</v>
      </c>
      <c r="D20" s="2"/>
    </row>
    <row r="21" spans="1:4" x14ac:dyDescent="0.25">
      <c r="A21" s="4">
        <v>79694</v>
      </c>
      <c r="B21" s="5">
        <v>19</v>
      </c>
      <c r="D21" s="2"/>
    </row>
    <row r="22" spans="1:4" x14ac:dyDescent="0.25">
      <c r="A22" s="4">
        <v>80551</v>
      </c>
      <c r="B22" s="5">
        <v>18</v>
      </c>
      <c r="D22" s="2"/>
    </row>
    <row r="23" spans="1:4" x14ac:dyDescent="0.25">
      <c r="A23" s="4">
        <v>81402</v>
      </c>
      <c r="B23" s="5">
        <v>16</v>
      </c>
      <c r="D23" s="2"/>
    </row>
    <row r="24" spans="1:4" x14ac:dyDescent="0.25">
      <c r="A24" s="4">
        <v>81407</v>
      </c>
      <c r="B24" s="5">
        <v>17</v>
      </c>
      <c r="D24" s="2"/>
    </row>
    <row r="25" spans="1:4" x14ac:dyDescent="0.25">
      <c r="A25" s="4">
        <v>81768</v>
      </c>
      <c r="B25" s="5">
        <v>19</v>
      </c>
      <c r="D25" s="2"/>
    </row>
    <row r="26" spans="1:4" x14ac:dyDescent="0.25">
      <c r="A26" s="4">
        <v>91681</v>
      </c>
      <c r="B26" s="5"/>
      <c r="D26" s="2"/>
    </row>
    <row r="27" spans="1:4" x14ac:dyDescent="0.25">
      <c r="A27" s="4">
        <v>91683</v>
      </c>
      <c r="B27" s="5">
        <v>18</v>
      </c>
      <c r="D27" s="2"/>
    </row>
    <row r="28" spans="1:4" x14ac:dyDescent="0.25">
      <c r="A28" s="4">
        <v>91684</v>
      </c>
      <c r="B28" s="5">
        <v>16</v>
      </c>
      <c r="D28" s="2"/>
    </row>
    <row r="29" spans="1:4" x14ac:dyDescent="0.25">
      <c r="A29" s="4">
        <v>91685</v>
      </c>
      <c r="B29" s="5">
        <v>19</v>
      </c>
      <c r="D29" s="2"/>
    </row>
    <row r="30" spans="1:4" x14ac:dyDescent="0.25">
      <c r="A30" s="4">
        <v>92026</v>
      </c>
      <c r="B30" s="5">
        <v>18</v>
      </c>
      <c r="D30" s="2"/>
    </row>
    <row r="31" spans="1:4" x14ac:dyDescent="0.25">
      <c r="A31" s="4">
        <v>92027</v>
      </c>
      <c r="B31" s="5">
        <v>15</v>
      </c>
      <c r="D31" s="2"/>
    </row>
    <row r="32" spans="1:4" x14ac:dyDescent="0.25">
      <c r="A32" s="4">
        <v>92029</v>
      </c>
      <c r="B32" s="5">
        <v>17</v>
      </c>
      <c r="D32" s="2"/>
    </row>
    <row r="33" spans="1:4" x14ac:dyDescent="0.25">
      <c r="A33" s="8">
        <v>92244</v>
      </c>
      <c r="B33" s="9">
        <v>18</v>
      </c>
      <c r="D33" s="2"/>
    </row>
    <row r="34" spans="1:4" x14ac:dyDescent="0.25">
      <c r="C34" s="2"/>
      <c r="D34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049FC-3EBE-4E8A-A1BD-46493690993D}">
  <dimension ref="A1:B30"/>
  <sheetViews>
    <sheetView zoomScale="130" zoomScaleNormal="130" workbookViewId="0">
      <selection activeCell="A2" sqref="A2"/>
    </sheetView>
  </sheetViews>
  <sheetFormatPr defaultRowHeight="15" x14ac:dyDescent="0.25"/>
  <cols>
    <col min="1" max="1" width="13.7109375" customWidth="1"/>
    <col min="2" max="2" width="10.7109375" customWidth="1"/>
  </cols>
  <sheetData>
    <row r="1" spans="1:2" x14ac:dyDescent="0.25">
      <c r="A1" s="10" t="s">
        <v>40</v>
      </c>
      <c r="B1" s="11" t="s">
        <v>3</v>
      </c>
    </row>
    <row r="2" spans="1:2" x14ac:dyDescent="0.25">
      <c r="A2" s="4">
        <v>25427</v>
      </c>
      <c r="B2" s="5">
        <v>12</v>
      </c>
    </row>
    <row r="3" spans="1:2" x14ac:dyDescent="0.25">
      <c r="A3" s="4">
        <v>37840</v>
      </c>
      <c r="B3" s="5">
        <v>16</v>
      </c>
    </row>
    <row r="4" spans="1:2" x14ac:dyDescent="0.25">
      <c r="A4" s="4">
        <v>43962</v>
      </c>
      <c r="B4" s="5">
        <v>16</v>
      </c>
    </row>
    <row r="5" spans="1:2" x14ac:dyDescent="0.25">
      <c r="A5" s="4">
        <v>50056</v>
      </c>
      <c r="B5" s="5">
        <v>16</v>
      </c>
    </row>
    <row r="6" spans="1:2" x14ac:dyDescent="0.25">
      <c r="A6" s="4">
        <v>61482</v>
      </c>
      <c r="B6" s="5">
        <v>18</v>
      </c>
    </row>
    <row r="7" spans="1:2" x14ac:dyDescent="0.25">
      <c r="A7" s="4">
        <v>71077</v>
      </c>
      <c r="B7" s="5">
        <v>19</v>
      </c>
    </row>
    <row r="8" spans="1:2" x14ac:dyDescent="0.25">
      <c r="A8" s="4">
        <v>75206</v>
      </c>
      <c r="B8" s="5">
        <v>15</v>
      </c>
    </row>
    <row r="9" spans="1:2" x14ac:dyDescent="0.25">
      <c r="A9" s="4">
        <v>75293</v>
      </c>
      <c r="B9" s="5">
        <v>16</v>
      </c>
    </row>
    <row r="10" spans="1:2" x14ac:dyDescent="0.25">
      <c r="A10" s="4">
        <v>76045</v>
      </c>
      <c r="B10" s="5">
        <v>13</v>
      </c>
    </row>
    <row r="11" spans="1:2" x14ac:dyDescent="0.25">
      <c r="A11" s="4">
        <v>79511</v>
      </c>
      <c r="B11" s="5">
        <v>16</v>
      </c>
    </row>
    <row r="12" spans="1:2" x14ac:dyDescent="0.25">
      <c r="A12" s="4">
        <v>79545</v>
      </c>
      <c r="B12" s="5">
        <v>16</v>
      </c>
    </row>
    <row r="13" spans="1:2" x14ac:dyDescent="0.25">
      <c r="A13" s="4">
        <v>79585</v>
      </c>
      <c r="B13" s="5">
        <v>16</v>
      </c>
    </row>
    <row r="14" spans="1:2" x14ac:dyDescent="0.25">
      <c r="A14" s="4">
        <v>79601</v>
      </c>
      <c r="B14" s="5">
        <v>19</v>
      </c>
    </row>
    <row r="15" spans="1:2" x14ac:dyDescent="0.25">
      <c r="A15" s="4">
        <v>79618</v>
      </c>
      <c r="B15" s="5">
        <v>14</v>
      </c>
    </row>
    <row r="16" spans="1:2" x14ac:dyDescent="0.25">
      <c r="A16" s="4">
        <v>79676</v>
      </c>
      <c r="B16" s="5">
        <v>15</v>
      </c>
    </row>
    <row r="17" spans="1:2" x14ac:dyDescent="0.25">
      <c r="A17" s="4">
        <v>79679</v>
      </c>
      <c r="B17" s="5">
        <v>15</v>
      </c>
    </row>
    <row r="18" spans="1:2" x14ac:dyDescent="0.25">
      <c r="A18" s="4">
        <v>79684</v>
      </c>
      <c r="B18" s="5">
        <v>16</v>
      </c>
    </row>
    <row r="19" spans="1:2" x14ac:dyDescent="0.25">
      <c r="A19" s="4">
        <v>79694</v>
      </c>
      <c r="B19" s="5">
        <v>17</v>
      </c>
    </row>
    <row r="20" spans="1:2" x14ac:dyDescent="0.25">
      <c r="A20" s="4">
        <v>80551</v>
      </c>
      <c r="B20" s="5">
        <v>14</v>
      </c>
    </row>
    <row r="21" spans="1:2" x14ac:dyDescent="0.25">
      <c r="A21" s="4">
        <v>81402</v>
      </c>
      <c r="B21" s="5">
        <v>13</v>
      </c>
    </row>
    <row r="22" spans="1:2" x14ac:dyDescent="0.25">
      <c r="A22" s="4">
        <v>81407</v>
      </c>
      <c r="B22" s="5">
        <v>14</v>
      </c>
    </row>
    <row r="23" spans="1:2" x14ac:dyDescent="0.25">
      <c r="A23" s="4">
        <v>81768</v>
      </c>
      <c r="B23" s="5">
        <v>18</v>
      </c>
    </row>
    <row r="24" spans="1:2" x14ac:dyDescent="0.25">
      <c r="A24" s="4">
        <v>91681</v>
      </c>
      <c r="B24" s="5">
        <v>5</v>
      </c>
    </row>
    <row r="25" spans="1:2" x14ac:dyDescent="0.25">
      <c r="A25" s="4">
        <v>91683</v>
      </c>
      <c r="B25" s="5">
        <v>16</v>
      </c>
    </row>
    <row r="26" spans="1:2" x14ac:dyDescent="0.25">
      <c r="A26" s="4">
        <v>91685</v>
      </c>
      <c r="B26" s="5">
        <v>15</v>
      </c>
    </row>
    <row r="27" spans="1:2" x14ac:dyDescent="0.25">
      <c r="A27" s="4">
        <v>92026</v>
      </c>
      <c r="B27" s="5">
        <v>15</v>
      </c>
    </row>
    <row r="28" spans="1:2" x14ac:dyDescent="0.25">
      <c r="A28" s="4">
        <v>92027</v>
      </c>
      <c r="B28" s="5">
        <v>11</v>
      </c>
    </row>
    <row r="29" spans="1:2" x14ac:dyDescent="0.25">
      <c r="A29" s="4">
        <v>92029</v>
      </c>
      <c r="B29" s="5">
        <v>17</v>
      </c>
    </row>
    <row r="30" spans="1:2" x14ac:dyDescent="0.25">
      <c r="A30" s="8">
        <v>92244</v>
      </c>
      <c r="B30" s="9">
        <v>15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77B5C-973F-416B-A2C7-3DEB731CA3AB}">
  <dimension ref="A1:B32"/>
  <sheetViews>
    <sheetView zoomScale="130" zoomScaleNormal="130" workbookViewId="0">
      <selection activeCell="A2" sqref="A2"/>
    </sheetView>
  </sheetViews>
  <sheetFormatPr defaultRowHeight="15" x14ac:dyDescent="0.25"/>
  <cols>
    <col min="1" max="1" width="13.7109375" customWidth="1"/>
    <col min="2" max="2" width="10.7109375" customWidth="1"/>
  </cols>
  <sheetData>
    <row r="1" spans="1:2" x14ac:dyDescent="0.25">
      <c r="A1" s="10" t="s">
        <v>40</v>
      </c>
      <c r="B1" s="11" t="s">
        <v>3</v>
      </c>
    </row>
    <row r="2" spans="1:2" x14ac:dyDescent="0.25">
      <c r="A2" s="12">
        <v>79694</v>
      </c>
      <c r="B2" s="14">
        <v>18</v>
      </c>
    </row>
    <row r="3" spans="1:2" x14ac:dyDescent="0.25">
      <c r="A3" s="13">
        <v>79618</v>
      </c>
      <c r="B3" s="15">
        <v>15</v>
      </c>
    </row>
    <row r="4" spans="1:2" x14ac:dyDescent="0.25">
      <c r="A4" s="12">
        <v>80551</v>
      </c>
      <c r="B4" s="14">
        <v>16</v>
      </c>
    </row>
    <row r="5" spans="1:2" x14ac:dyDescent="0.25">
      <c r="A5" s="13">
        <v>37840</v>
      </c>
      <c r="B5" s="15">
        <v>17</v>
      </c>
    </row>
    <row r="6" spans="1:2" x14ac:dyDescent="0.25">
      <c r="A6" s="12">
        <v>79676</v>
      </c>
      <c r="B6" s="14">
        <v>17</v>
      </c>
    </row>
    <row r="7" spans="1:2" x14ac:dyDescent="0.25">
      <c r="A7" s="13">
        <v>79585</v>
      </c>
      <c r="B7" s="15">
        <v>18</v>
      </c>
    </row>
    <row r="8" spans="1:2" x14ac:dyDescent="0.25">
      <c r="A8" s="12">
        <v>81407</v>
      </c>
      <c r="B8" s="14">
        <v>14</v>
      </c>
    </row>
    <row r="9" spans="1:2" x14ac:dyDescent="0.25">
      <c r="A9" s="13">
        <v>76045</v>
      </c>
      <c r="B9" s="15">
        <v>17</v>
      </c>
    </row>
    <row r="10" spans="1:2" x14ac:dyDescent="0.25">
      <c r="A10" s="12">
        <v>79511</v>
      </c>
      <c r="B10" s="14">
        <v>17</v>
      </c>
    </row>
    <row r="11" spans="1:2" x14ac:dyDescent="0.25">
      <c r="A11" s="13">
        <v>81768</v>
      </c>
      <c r="B11" s="15">
        <v>19</v>
      </c>
    </row>
    <row r="12" spans="1:2" x14ac:dyDescent="0.25">
      <c r="A12" s="12">
        <v>79545</v>
      </c>
      <c r="B12" s="14">
        <v>16</v>
      </c>
    </row>
    <row r="13" spans="1:2" x14ac:dyDescent="0.25">
      <c r="A13" s="13">
        <v>79601</v>
      </c>
      <c r="B13" s="15">
        <v>19</v>
      </c>
    </row>
    <row r="14" spans="1:2" x14ac:dyDescent="0.25">
      <c r="A14" s="12">
        <v>91685</v>
      </c>
      <c r="B14" s="14">
        <v>16</v>
      </c>
    </row>
    <row r="15" spans="1:2" x14ac:dyDescent="0.25">
      <c r="A15" s="13">
        <v>91681</v>
      </c>
      <c r="B15" s="15"/>
    </row>
    <row r="16" spans="1:2" x14ac:dyDescent="0.25">
      <c r="A16" s="12">
        <v>50056</v>
      </c>
      <c r="B16" s="14">
        <v>18</v>
      </c>
    </row>
    <row r="17" spans="1:2" x14ac:dyDescent="0.25">
      <c r="A17" s="13">
        <v>61482</v>
      </c>
      <c r="B17" s="15">
        <v>18</v>
      </c>
    </row>
    <row r="18" spans="1:2" x14ac:dyDescent="0.25">
      <c r="A18" s="12">
        <v>92244</v>
      </c>
      <c r="B18" s="14">
        <v>18</v>
      </c>
    </row>
    <row r="19" spans="1:2" x14ac:dyDescent="0.25">
      <c r="A19" s="13">
        <v>75293</v>
      </c>
      <c r="B19" s="15">
        <v>16</v>
      </c>
    </row>
    <row r="20" spans="1:2" x14ac:dyDescent="0.25">
      <c r="A20" s="12">
        <v>76060</v>
      </c>
      <c r="B20" s="14"/>
    </row>
    <row r="21" spans="1:2" x14ac:dyDescent="0.25">
      <c r="A21" s="13">
        <v>79679</v>
      </c>
      <c r="B21" s="15">
        <v>16</v>
      </c>
    </row>
    <row r="22" spans="1:2" x14ac:dyDescent="0.25">
      <c r="A22" s="12">
        <v>92026</v>
      </c>
      <c r="B22" s="14">
        <v>18</v>
      </c>
    </row>
    <row r="23" spans="1:2" x14ac:dyDescent="0.25">
      <c r="A23" s="13">
        <v>81402</v>
      </c>
      <c r="B23" s="15">
        <v>16</v>
      </c>
    </row>
    <row r="24" spans="1:2" x14ac:dyDescent="0.25">
      <c r="A24" s="12">
        <v>75206</v>
      </c>
      <c r="B24" s="14">
        <v>16</v>
      </c>
    </row>
    <row r="25" spans="1:2" x14ac:dyDescent="0.25">
      <c r="A25" s="13">
        <v>79516</v>
      </c>
      <c r="B25" s="15"/>
    </row>
    <row r="26" spans="1:2" x14ac:dyDescent="0.25">
      <c r="A26" s="12">
        <v>91683</v>
      </c>
      <c r="B26" s="14">
        <v>18</v>
      </c>
    </row>
    <row r="27" spans="1:2" x14ac:dyDescent="0.25">
      <c r="A27" s="13">
        <v>43962</v>
      </c>
      <c r="B27" s="15"/>
    </row>
    <row r="28" spans="1:2" x14ac:dyDescent="0.25">
      <c r="A28" s="12">
        <v>79684</v>
      </c>
      <c r="B28" s="14">
        <v>16</v>
      </c>
    </row>
    <row r="29" spans="1:2" x14ac:dyDescent="0.25">
      <c r="A29" s="13">
        <v>92027</v>
      </c>
      <c r="B29" s="15">
        <v>15</v>
      </c>
    </row>
    <row r="30" spans="1:2" x14ac:dyDescent="0.25">
      <c r="A30" s="12">
        <v>71077</v>
      </c>
      <c r="B30" s="14">
        <v>17</v>
      </c>
    </row>
    <row r="31" spans="1:2" x14ac:dyDescent="0.25">
      <c r="A31" s="13">
        <v>92029</v>
      </c>
      <c r="B31" s="15"/>
    </row>
    <row r="32" spans="1:2" x14ac:dyDescent="0.25">
      <c r="A32" s="16">
        <v>25427</v>
      </c>
      <c r="B32" s="17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54770-8C82-4133-94A8-4EB0F72FA989}">
  <dimension ref="A1:B17"/>
  <sheetViews>
    <sheetView zoomScale="130" zoomScaleNormal="130" workbookViewId="0">
      <selection activeCell="A2" sqref="A2"/>
    </sheetView>
  </sheetViews>
  <sheetFormatPr defaultRowHeight="15" x14ac:dyDescent="0.25"/>
  <cols>
    <col min="1" max="1" width="13.7109375" customWidth="1"/>
    <col min="2" max="2" width="10.7109375" customWidth="1"/>
  </cols>
  <sheetData>
    <row r="1" spans="1:2" x14ac:dyDescent="0.25">
      <c r="A1" s="10" t="s">
        <v>40</v>
      </c>
      <c r="B1" s="11" t="s">
        <v>3</v>
      </c>
    </row>
    <row r="2" spans="1:2" x14ac:dyDescent="0.25">
      <c r="A2" s="4">
        <v>37840</v>
      </c>
      <c r="B2" s="5">
        <v>14</v>
      </c>
    </row>
    <row r="3" spans="1:2" x14ac:dyDescent="0.25">
      <c r="A3" s="4">
        <v>79676</v>
      </c>
      <c r="B3" s="5">
        <v>15</v>
      </c>
    </row>
    <row r="4" spans="1:2" x14ac:dyDescent="0.25">
      <c r="A4" s="4">
        <v>76045</v>
      </c>
      <c r="B4" s="5">
        <v>14</v>
      </c>
    </row>
    <row r="5" spans="1:2" x14ac:dyDescent="0.25">
      <c r="A5" s="4">
        <v>81768</v>
      </c>
      <c r="B5" s="5">
        <v>18</v>
      </c>
    </row>
    <row r="6" spans="1:2" x14ac:dyDescent="0.25">
      <c r="A6" s="4">
        <v>79601</v>
      </c>
      <c r="B6" s="5">
        <v>18</v>
      </c>
    </row>
    <row r="7" spans="1:2" x14ac:dyDescent="0.25">
      <c r="A7" s="4">
        <v>50056</v>
      </c>
      <c r="B7" s="5">
        <v>16</v>
      </c>
    </row>
    <row r="8" spans="1:2" x14ac:dyDescent="0.25">
      <c r="A8" s="4">
        <v>92244</v>
      </c>
      <c r="B8" s="5">
        <v>15</v>
      </c>
    </row>
    <row r="9" spans="1:2" x14ac:dyDescent="0.25">
      <c r="A9" s="4">
        <v>76060</v>
      </c>
      <c r="B9" s="5"/>
    </row>
    <row r="10" spans="1:2" x14ac:dyDescent="0.25">
      <c r="A10" s="4">
        <v>79679</v>
      </c>
      <c r="B10" s="5">
        <v>14</v>
      </c>
    </row>
    <row r="11" spans="1:2" x14ac:dyDescent="0.25">
      <c r="A11" s="4">
        <v>91684</v>
      </c>
      <c r="B11" s="5"/>
    </row>
    <row r="12" spans="1:2" x14ac:dyDescent="0.25">
      <c r="A12" s="4">
        <v>91683</v>
      </c>
      <c r="B12" s="5">
        <v>16</v>
      </c>
    </row>
    <row r="13" spans="1:2" x14ac:dyDescent="0.25">
      <c r="A13" s="4">
        <v>43962</v>
      </c>
      <c r="B13" s="5">
        <v>15</v>
      </c>
    </row>
    <row r="14" spans="1:2" x14ac:dyDescent="0.25">
      <c r="A14" s="4">
        <v>79684</v>
      </c>
      <c r="B14" s="5">
        <v>17</v>
      </c>
    </row>
    <row r="15" spans="1:2" x14ac:dyDescent="0.25">
      <c r="A15" s="4">
        <v>71077</v>
      </c>
      <c r="B15" s="5">
        <v>18</v>
      </c>
    </row>
    <row r="16" spans="1:2" x14ac:dyDescent="0.25">
      <c r="A16" s="4">
        <v>92029</v>
      </c>
      <c r="B16" s="5">
        <v>16</v>
      </c>
    </row>
    <row r="17" spans="1:2" x14ac:dyDescent="0.25">
      <c r="A17" s="8">
        <v>25427</v>
      </c>
      <c r="B17" s="9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6F922-A4BA-40BE-A517-1FE25CBD8F38}">
  <dimension ref="A1:B16"/>
  <sheetViews>
    <sheetView zoomScale="130" zoomScaleNormal="130" workbookViewId="0">
      <selection activeCell="A2" sqref="A2"/>
    </sheetView>
  </sheetViews>
  <sheetFormatPr defaultRowHeight="15" x14ac:dyDescent="0.25"/>
  <cols>
    <col min="1" max="1" width="13.7109375" customWidth="1"/>
    <col min="2" max="2" width="10.7109375" customWidth="1"/>
  </cols>
  <sheetData>
    <row r="1" spans="1:2" x14ac:dyDescent="0.25">
      <c r="A1" s="10" t="s">
        <v>40</v>
      </c>
      <c r="B1" s="11" t="s">
        <v>3</v>
      </c>
    </row>
    <row r="2" spans="1:2" x14ac:dyDescent="0.25">
      <c r="A2" s="18">
        <v>61482</v>
      </c>
      <c r="B2" s="20">
        <v>18</v>
      </c>
    </row>
    <row r="3" spans="1:2" x14ac:dyDescent="0.25">
      <c r="A3" s="19">
        <v>75206</v>
      </c>
      <c r="B3" s="20">
        <v>16</v>
      </c>
    </row>
    <row r="4" spans="1:2" x14ac:dyDescent="0.25">
      <c r="A4" s="18">
        <v>75293</v>
      </c>
      <c r="B4" s="20">
        <v>18</v>
      </c>
    </row>
    <row r="5" spans="1:2" x14ac:dyDescent="0.25">
      <c r="A5" s="19">
        <v>79511</v>
      </c>
      <c r="B5" s="20">
        <v>18</v>
      </c>
    </row>
    <row r="6" spans="1:2" x14ac:dyDescent="0.25">
      <c r="A6" s="18">
        <v>79545</v>
      </c>
      <c r="B6" s="20">
        <v>18</v>
      </c>
    </row>
    <row r="7" spans="1:2" x14ac:dyDescent="0.25">
      <c r="A7" s="19">
        <v>79585</v>
      </c>
      <c r="B7" s="20">
        <v>18</v>
      </c>
    </row>
    <row r="8" spans="1:2" x14ac:dyDescent="0.25">
      <c r="A8" s="18">
        <v>79618</v>
      </c>
      <c r="B8" s="20">
        <v>15</v>
      </c>
    </row>
    <row r="9" spans="1:2" x14ac:dyDescent="0.25">
      <c r="A9" s="19">
        <v>79694</v>
      </c>
      <c r="B9" s="20">
        <v>19</v>
      </c>
    </row>
    <row r="10" spans="1:2" x14ac:dyDescent="0.25">
      <c r="A10" s="18">
        <v>80551</v>
      </c>
      <c r="B10" s="20">
        <v>17</v>
      </c>
    </row>
    <row r="11" spans="1:2" x14ac:dyDescent="0.25">
      <c r="A11" s="19">
        <v>81402</v>
      </c>
      <c r="B11" s="20">
        <v>15</v>
      </c>
    </row>
    <row r="12" spans="1:2" x14ac:dyDescent="0.25">
      <c r="A12" s="18">
        <v>81407</v>
      </c>
      <c r="B12" s="20">
        <v>15</v>
      </c>
    </row>
    <row r="13" spans="1:2" x14ac:dyDescent="0.25">
      <c r="A13" s="19">
        <v>91681</v>
      </c>
      <c r="B13" s="20"/>
    </row>
    <row r="14" spans="1:2" x14ac:dyDescent="0.25">
      <c r="A14" s="18">
        <v>91685</v>
      </c>
      <c r="B14" s="20">
        <v>14</v>
      </c>
    </row>
    <row r="15" spans="1:2" x14ac:dyDescent="0.25">
      <c r="A15" s="19">
        <v>92026</v>
      </c>
      <c r="B15" s="20">
        <v>17</v>
      </c>
    </row>
    <row r="16" spans="1:2" x14ac:dyDescent="0.25">
      <c r="A16" s="21">
        <v>92027</v>
      </c>
      <c r="B16" s="22">
        <v>13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3FDDE-6EB2-4426-BD26-91C9EFB5FEAA}">
  <dimension ref="A1:B34"/>
  <sheetViews>
    <sheetView zoomScale="130" zoomScaleNormal="130" workbookViewId="0">
      <selection activeCell="A2" sqref="A2"/>
    </sheetView>
  </sheetViews>
  <sheetFormatPr defaultRowHeight="15" x14ac:dyDescent="0.25"/>
  <cols>
    <col min="1" max="1" width="10.5703125" bestFit="1" customWidth="1"/>
    <col min="2" max="2" width="19.28515625" bestFit="1" customWidth="1"/>
  </cols>
  <sheetData>
    <row r="1" spans="1:2" x14ac:dyDescent="0.25">
      <c r="A1" s="10" t="s">
        <v>40</v>
      </c>
      <c r="B1" s="11" t="s">
        <v>3</v>
      </c>
    </row>
    <row r="2" spans="1:2" x14ac:dyDescent="0.25">
      <c r="A2" s="4">
        <v>79694</v>
      </c>
      <c r="B2" s="5">
        <v>18</v>
      </c>
    </row>
    <row r="3" spans="1:2" x14ac:dyDescent="0.25">
      <c r="A3" s="4">
        <v>42219</v>
      </c>
      <c r="B3" s="5"/>
    </row>
    <row r="4" spans="1:2" x14ac:dyDescent="0.25">
      <c r="A4" s="4">
        <v>79618</v>
      </c>
      <c r="B4" s="5">
        <v>17</v>
      </c>
    </row>
    <row r="5" spans="1:2" x14ac:dyDescent="0.25">
      <c r="A5" s="4">
        <v>80551</v>
      </c>
      <c r="B5" s="5">
        <v>17</v>
      </c>
    </row>
    <row r="6" spans="1:2" x14ac:dyDescent="0.25">
      <c r="A6" s="4">
        <v>37840</v>
      </c>
      <c r="B6" s="5">
        <v>17</v>
      </c>
    </row>
    <row r="7" spans="1:2" x14ac:dyDescent="0.25">
      <c r="A7" s="4">
        <v>79676</v>
      </c>
      <c r="B7" s="5">
        <v>16</v>
      </c>
    </row>
    <row r="8" spans="1:2" x14ac:dyDescent="0.25">
      <c r="A8" s="4">
        <v>79585</v>
      </c>
      <c r="B8" s="5">
        <v>18</v>
      </c>
    </row>
    <row r="9" spans="1:2" x14ac:dyDescent="0.25">
      <c r="A9" s="4">
        <v>81407</v>
      </c>
      <c r="B9" s="5">
        <v>15</v>
      </c>
    </row>
    <row r="10" spans="1:2" x14ac:dyDescent="0.25">
      <c r="A10" s="4">
        <v>76045</v>
      </c>
      <c r="B10" s="5">
        <v>15</v>
      </c>
    </row>
    <row r="11" spans="1:2" x14ac:dyDescent="0.25">
      <c r="A11" s="4">
        <v>79511</v>
      </c>
      <c r="B11" s="5">
        <v>16</v>
      </c>
    </row>
    <row r="12" spans="1:2" x14ac:dyDescent="0.25">
      <c r="A12" s="4">
        <v>81768</v>
      </c>
      <c r="B12" s="5">
        <v>18</v>
      </c>
    </row>
    <row r="13" spans="1:2" x14ac:dyDescent="0.25">
      <c r="A13" s="4">
        <v>79545</v>
      </c>
      <c r="B13" s="5">
        <v>17</v>
      </c>
    </row>
    <row r="14" spans="1:2" x14ac:dyDescent="0.25">
      <c r="A14" s="4">
        <v>79601</v>
      </c>
      <c r="B14" s="5">
        <v>18</v>
      </c>
    </row>
    <row r="15" spans="1:2" x14ac:dyDescent="0.25">
      <c r="A15" s="4">
        <v>91685</v>
      </c>
      <c r="B15" s="5">
        <v>16</v>
      </c>
    </row>
    <row r="16" spans="1:2" x14ac:dyDescent="0.25">
      <c r="A16" s="4">
        <v>91681</v>
      </c>
      <c r="B16" s="5"/>
    </row>
    <row r="17" spans="1:2" x14ac:dyDescent="0.25">
      <c r="A17" s="4">
        <v>50056</v>
      </c>
      <c r="B17" s="5">
        <v>17</v>
      </c>
    </row>
    <row r="18" spans="1:2" x14ac:dyDescent="0.25">
      <c r="A18" s="4">
        <v>61482</v>
      </c>
      <c r="B18" s="5">
        <v>17</v>
      </c>
    </row>
    <row r="19" spans="1:2" x14ac:dyDescent="0.25">
      <c r="A19" s="4">
        <v>92244</v>
      </c>
      <c r="B19" s="5">
        <v>17</v>
      </c>
    </row>
    <row r="20" spans="1:2" x14ac:dyDescent="0.25">
      <c r="A20" s="4">
        <v>75293</v>
      </c>
      <c r="B20" s="5">
        <v>19</v>
      </c>
    </row>
    <row r="21" spans="1:2" x14ac:dyDescent="0.25">
      <c r="A21" s="4">
        <v>76060</v>
      </c>
      <c r="B21" s="5"/>
    </row>
    <row r="22" spans="1:2" x14ac:dyDescent="0.25">
      <c r="A22" s="4">
        <v>79679</v>
      </c>
      <c r="B22" s="5">
        <v>16</v>
      </c>
    </row>
    <row r="23" spans="1:2" x14ac:dyDescent="0.25">
      <c r="A23" s="4">
        <v>92026</v>
      </c>
      <c r="B23" s="5">
        <v>18</v>
      </c>
    </row>
    <row r="24" spans="1:2" x14ac:dyDescent="0.25">
      <c r="A24" s="4">
        <v>81402</v>
      </c>
      <c r="B24" s="5">
        <v>17</v>
      </c>
    </row>
    <row r="25" spans="1:2" x14ac:dyDescent="0.25">
      <c r="A25" s="4">
        <v>91684</v>
      </c>
      <c r="B25" s="5"/>
    </row>
    <row r="26" spans="1:2" x14ac:dyDescent="0.25">
      <c r="A26" s="4">
        <v>75206</v>
      </c>
      <c r="B26" s="5">
        <v>16</v>
      </c>
    </row>
    <row r="27" spans="1:2" x14ac:dyDescent="0.25">
      <c r="A27" s="4">
        <v>79516</v>
      </c>
      <c r="B27" s="5"/>
    </row>
    <row r="28" spans="1:2" x14ac:dyDescent="0.25">
      <c r="A28" s="4">
        <v>91683</v>
      </c>
      <c r="B28" s="5">
        <v>18</v>
      </c>
    </row>
    <row r="29" spans="1:2" x14ac:dyDescent="0.25">
      <c r="A29" s="4">
        <v>43962</v>
      </c>
      <c r="B29" s="5">
        <v>16</v>
      </c>
    </row>
    <row r="30" spans="1:2" x14ac:dyDescent="0.25">
      <c r="A30" s="4">
        <v>79684</v>
      </c>
      <c r="B30" s="5">
        <v>16</v>
      </c>
    </row>
    <row r="31" spans="1:2" x14ac:dyDescent="0.25">
      <c r="A31" s="4">
        <v>92027</v>
      </c>
      <c r="B31" s="5">
        <v>15</v>
      </c>
    </row>
    <row r="32" spans="1:2" x14ac:dyDescent="0.25">
      <c r="A32" s="4">
        <v>71077</v>
      </c>
      <c r="B32" s="5">
        <v>18</v>
      </c>
    </row>
    <row r="33" spans="1:2" x14ac:dyDescent="0.25">
      <c r="A33" s="4">
        <v>92029</v>
      </c>
      <c r="B33" s="5">
        <v>16</v>
      </c>
    </row>
    <row r="34" spans="1:2" x14ac:dyDescent="0.25">
      <c r="A34" s="8">
        <v>25427</v>
      </c>
      <c r="B34" s="9">
        <v>15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79D4C-DE81-435A-8C89-94DED6C4DE38}">
  <dimension ref="A1"/>
  <sheetViews>
    <sheetView workbookViewId="0">
      <selection activeCell="B1" sqref="B1"/>
    </sheetView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81220-FDEB-49D9-B8C3-DCC8286B639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CADBC-0002-4D51-8E06-ED29314D069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E3C20-94AE-4AB3-BA78-0AB071A8F8A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BF2EE-4EEB-42F7-B796-79E1280D9E9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D9A78-76C0-42BE-9C0F-106D6AD1CD7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25DFD-69B3-4F91-805D-AC8ABFF41F1F}">
  <dimension ref="A1:J31"/>
  <sheetViews>
    <sheetView zoomScale="130" zoomScaleNormal="130" workbookViewId="0">
      <selection activeCell="J24" sqref="A24:J24"/>
    </sheetView>
  </sheetViews>
  <sheetFormatPr defaultRowHeight="15" x14ac:dyDescent="0.25"/>
  <cols>
    <col min="1" max="1" width="13.7109375" customWidth="1"/>
    <col min="2" max="2" width="40.7109375" customWidth="1"/>
    <col min="3" max="8" width="10.7109375" customWidth="1"/>
    <col min="9" max="9" width="11.7109375" bestFit="1" customWidth="1"/>
    <col min="10" max="10" width="20.7109375" customWidth="1"/>
  </cols>
  <sheetData>
    <row r="1" spans="1:10" x14ac:dyDescent="0.25">
      <c r="A1" s="1" t="s">
        <v>40</v>
      </c>
      <c r="B1" s="1" t="s">
        <v>23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41</v>
      </c>
      <c r="J1" s="1" t="s">
        <v>38</v>
      </c>
    </row>
    <row r="2" spans="1:10" x14ac:dyDescent="0.25">
      <c r="A2" s="25" cm="1">
        <f t="array" ref="A2:A31">StudentNames[Student id]</f>
        <v>25427</v>
      </c>
      <c r="B2" s="25" t="str" cm="1">
        <f t="array" ref="B2:B31">StudentNames[Student Name]</f>
        <v>TERESA MARIA BRANCO CANDEIAS</v>
      </c>
      <c r="C2" s="25" cm="1">
        <f t="array" ref="C2:C31">_xlfn.LET(_xlpm.x,_xlfn.XLOOKUP(A2:A31,'Pauta 1'!A2:A33,'Pauta 1'!B2:B33,"",0),IF(_xlpm.x="","",_xlpm.x))</f>
        <v>16</v>
      </c>
      <c r="D2" s="25" cm="1">
        <f t="array" ref="D2:D31">_xlfn.LET(_xlpm.x,_xlfn.XLOOKUP(A2:A31,'Pauta 2'!A2:A30,'Pauta 2'!B2:B30,"",0),IF(_xlpm.x="","",_xlpm.x))</f>
        <v>12</v>
      </c>
      <c r="E2" s="25" t="str" cm="1">
        <f t="array" ref="E2:E31">_xlfn.LET(_xlpm.x,_xlfn.XLOOKUP(AVGs!A2:A31,'Pauta 3'!A2:A32,'Pauta 3'!B2:B32,"",0),IF(_xlpm.x="","",_xlpm.x))</f>
        <v/>
      </c>
      <c r="F2" s="25" t="str" cm="1">
        <f t="array" ref="F2:F31">_xlfn.LET(_xlpm.x,_xlfn.XLOOKUP(A2:A31,'Pauta 4'!A2:A17,'Pauta 4'!B2:B17,"",0),IF(_xlpm.x="","",_xlpm.x))</f>
        <v/>
      </c>
      <c r="G2" s="25" t="str" cm="1">
        <f t="array" ref="G2:G31">_xlfn.LET(_xlpm.x,_xlfn.XLOOKUP(A2:A31,'Pauta 5'!A2:A16,'Pauta 5'!B2:B16,"",0),IF(_xlpm.x="","",_xlpm.x))</f>
        <v/>
      </c>
      <c r="H2" s="25" cm="1">
        <f t="array" ref="H2:H31">_xlfn.LET(_xlpm.x,_xlfn.XLOOKUP(AVGs!A2:A31,'Pauta 6'!A2:A34,'Pauta 6'!B2:B34,"",0),IF(_xlpm.x="","",_xlpm.x))</f>
        <v>15</v>
      </c>
      <c r="I2" s="25">
        <f>COUNT(C2:H2)</f>
        <v>3</v>
      </c>
      <c r="J2" s="25">
        <f>AVERAGE(C2:H2)</f>
        <v>14.333333333333334</v>
      </c>
    </row>
    <row r="3" spans="1:10" x14ac:dyDescent="0.25">
      <c r="A3" s="3">
        <v>37840</v>
      </c>
      <c r="B3" s="3" t="str">
        <v>CAROLINA VELHINHO DE ABREU PIMENTA</v>
      </c>
      <c r="C3" s="3">
        <v>18</v>
      </c>
      <c r="D3" s="3">
        <v>16</v>
      </c>
      <c r="E3" s="3">
        <v>17</v>
      </c>
      <c r="F3" s="3">
        <v>14</v>
      </c>
      <c r="G3" s="3" t="str">
        <v/>
      </c>
      <c r="H3" s="3">
        <v>17</v>
      </c>
      <c r="I3" s="3">
        <f t="shared" ref="I3:I31" si="0">COUNT(C3:H3)</f>
        <v>5</v>
      </c>
      <c r="J3" s="3">
        <f t="shared" ref="J3:J31" si="1">AVERAGE(C3:H3)</f>
        <v>16.399999999999999</v>
      </c>
    </row>
    <row r="4" spans="1:10" x14ac:dyDescent="0.25">
      <c r="A4" s="23">
        <v>43962</v>
      </c>
      <c r="B4" s="23" t="str">
        <v>RITA ISABEL DUARTE CAVACO</v>
      </c>
      <c r="C4" s="23">
        <v>17</v>
      </c>
      <c r="D4" s="23">
        <v>16</v>
      </c>
      <c r="E4" s="23" t="str">
        <v/>
      </c>
      <c r="F4" s="23">
        <v>15</v>
      </c>
      <c r="G4" s="23" t="str">
        <v/>
      </c>
      <c r="H4" s="23">
        <v>16</v>
      </c>
      <c r="I4" s="23">
        <f t="shared" si="0"/>
        <v>4</v>
      </c>
      <c r="J4" s="23">
        <f t="shared" si="1"/>
        <v>16</v>
      </c>
    </row>
    <row r="5" spans="1:10" x14ac:dyDescent="0.25">
      <c r="A5" s="3">
        <v>50056</v>
      </c>
      <c r="B5" s="3" t="str">
        <v>JANETE LOURENÇO GUERREIRO</v>
      </c>
      <c r="C5" s="3">
        <v>17</v>
      </c>
      <c r="D5" s="3">
        <v>16</v>
      </c>
      <c r="E5" s="3">
        <v>18</v>
      </c>
      <c r="F5" s="3">
        <v>16</v>
      </c>
      <c r="G5" s="3" t="str">
        <v/>
      </c>
      <c r="H5" s="3">
        <v>17</v>
      </c>
      <c r="I5" s="3">
        <f t="shared" si="0"/>
        <v>5</v>
      </c>
      <c r="J5" s="3">
        <f t="shared" si="1"/>
        <v>16.8</v>
      </c>
    </row>
    <row r="6" spans="1:10" x14ac:dyDescent="0.25">
      <c r="A6" s="3">
        <v>61482</v>
      </c>
      <c r="B6" s="3" t="str">
        <v>JESSICA ALEXANDRA SANTOS PALMEIRO</v>
      </c>
      <c r="C6" s="3">
        <v>19</v>
      </c>
      <c r="D6" s="3">
        <v>18</v>
      </c>
      <c r="E6" s="3">
        <v>18</v>
      </c>
      <c r="F6" s="3" t="str">
        <v/>
      </c>
      <c r="G6" s="3">
        <v>18</v>
      </c>
      <c r="H6" s="3">
        <v>17</v>
      </c>
      <c r="I6" s="3">
        <f t="shared" si="0"/>
        <v>5</v>
      </c>
      <c r="J6" s="3">
        <f t="shared" si="1"/>
        <v>18</v>
      </c>
    </row>
    <row r="7" spans="1:10" x14ac:dyDescent="0.25">
      <c r="A7" s="3">
        <v>71077</v>
      </c>
      <c r="B7" s="3" t="str">
        <v>SOFIA MARGARIDA LEITE GONÇALVES</v>
      </c>
      <c r="C7" s="3">
        <v>19</v>
      </c>
      <c r="D7" s="3">
        <v>19</v>
      </c>
      <c r="E7" s="3">
        <v>17</v>
      </c>
      <c r="F7" s="3">
        <v>18</v>
      </c>
      <c r="G7" s="3" t="str">
        <v/>
      </c>
      <c r="H7" s="3">
        <v>18</v>
      </c>
      <c r="I7" s="3">
        <f t="shared" si="0"/>
        <v>5</v>
      </c>
      <c r="J7" s="3">
        <f t="shared" si="1"/>
        <v>18.2</v>
      </c>
    </row>
    <row r="8" spans="1:10" x14ac:dyDescent="0.25">
      <c r="A8" s="3">
        <v>75206</v>
      </c>
      <c r="B8" s="3" t="str">
        <v>MARIANA FILIPA COELHO GONÇALVES</v>
      </c>
      <c r="C8" s="3">
        <v>17</v>
      </c>
      <c r="D8" s="3">
        <v>15</v>
      </c>
      <c r="E8" s="3">
        <v>16</v>
      </c>
      <c r="F8" s="3" t="str">
        <v/>
      </c>
      <c r="G8" s="3">
        <v>16</v>
      </c>
      <c r="H8" s="3">
        <v>16</v>
      </c>
      <c r="I8" s="3">
        <f t="shared" si="0"/>
        <v>5</v>
      </c>
      <c r="J8" s="3">
        <f t="shared" si="1"/>
        <v>16</v>
      </c>
    </row>
    <row r="9" spans="1:10" x14ac:dyDescent="0.25">
      <c r="A9" s="3">
        <v>75293</v>
      </c>
      <c r="B9" s="3" t="str">
        <v>JOÃO PEDRO CANTANTE CORDEIRO</v>
      </c>
      <c r="C9" s="3">
        <v>17</v>
      </c>
      <c r="D9" s="3">
        <v>16</v>
      </c>
      <c r="E9" s="3">
        <v>16</v>
      </c>
      <c r="F9" s="3" t="str">
        <v/>
      </c>
      <c r="G9" s="3">
        <v>18</v>
      </c>
      <c r="H9" s="3">
        <v>19</v>
      </c>
      <c r="I9" s="3">
        <f t="shared" si="0"/>
        <v>5</v>
      </c>
      <c r="J9" s="3">
        <f t="shared" si="1"/>
        <v>17.2</v>
      </c>
    </row>
    <row r="10" spans="1:10" x14ac:dyDescent="0.25">
      <c r="A10" s="3">
        <v>76045</v>
      </c>
      <c r="B10" s="3" t="str">
        <v>CÁTIA SOFIA ROQUE DIAS</v>
      </c>
      <c r="C10" s="3">
        <v>18</v>
      </c>
      <c r="D10" s="3">
        <v>13</v>
      </c>
      <c r="E10" s="3">
        <v>17</v>
      </c>
      <c r="F10" s="3">
        <v>14</v>
      </c>
      <c r="G10" s="3" t="str">
        <v/>
      </c>
      <c r="H10" s="3">
        <v>15</v>
      </c>
      <c r="I10" s="3">
        <f t="shared" si="0"/>
        <v>5</v>
      </c>
      <c r="J10" s="3">
        <f t="shared" si="1"/>
        <v>15.4</v>
      </c>
    </row>
    <row r="11" spans="1:10" x14ac:dyDescent="0.25">
      <c r="A11" s="3">
        <v>79511</v>
      </c>
      <c r="B11" s="3" t="str">
        <v>DANIELA SOFIA GUIA LOPES CALHAU</v>
      </c>
      <c r="C11" s="3">
        <v>18</v>
      </c>
      <c r="D11" s="3">
        <v>16</v>
      </c>
      <c r="E11" s="3">
        <v>17</v>
      </c>
      <c r="F11" s="3" t="str">
        <v/>
      </c>
      <c r="G11" s="3">
        <v>18</v>
      </c>
      <c r="H11" s="3">
        <v>16</v>
      </c>
      <c r="I11" s="3">
        <f t="shared" si="0"/>
        <v>5</v>
      </c>
      <c r="J11" s="3">
        <f t="shared" si="1"/>
        <v>17</v>
      </c>
    </row>
    <row r="12" spans="1:10" x14ac:dyDescent="0.25">
      <c r="A12" s="3">
        <v>79545</v>
      </c>
      <c r="B12" s="3" t="str">
        <v>DIOGO ALEXANDRE TREJEIRA SERRA</v>
      </c>
      <c r="C12" s="3">
        <v>17</v>
      </c>
      <c r="D12" s="3">
        <v>16</v>
      </c>
      <c r="E12" s="3">
        <v>16</v>
      </c>
      <c r="F12" s="3" t="str">
        <v/>
      </c>
      <c r="G12" s="3">
        <v>18</v>
      </c>
      <c r="H12" s="3">
        <v>17</v>
      </c>
      <c r="I12" s="3">
        <f t="shared" si="0"/>
        <v>5</v>
      </c>
      <c r="J12" s="3">
        <f t="shared" si="1"/>
        <v>16.8</v>
      </c>
    </row>
    <row r="13" spans="1:10" x14ac:dyDescent="0.25">
      <c r="A13" s="3">
        <v>79585</v>
      </c>
      <c r="B13" s="3" t="str">
        <v>CATARINA ISABEL MARTINS ENCARNAÇÃO</v>
      </c>
      <c r="C13" s="3">
        <v>18</v>
      </c>
      <c r="D13" s="3">
        <v>16</v>
      </c>
      <c r="E13" s="3">
        <v>18</v>
      </c>
      <c r="F13" s="3" t="str">
        <v/>
      </c>
      <c r="G13" s="3">
        <v>18</v>
      </c>
      <c r="H13" s="3">
        <v>18</v>
      </c>
      <c r="I13" s="3">
        <f t="shared" si="0"/>
        <v>5</v>
      </c>
      <c r="J13" s="3">
        <f t="shared" si="1"/>
        <v>17.600000000000001</v>
      </c>
    </row>
    <row r="14" spans="1:10" x14ac:dyDescent="0.25">
      <c r="A14" s="3">
        <v>79601</v>
      </c>
      <c r="B14" s="3" t="str">
        <v>INÊS JOSÉ CONDEÇA BARRADAS</v>
      </c>
      <c r="C14" s="3">
        <v>19</v>
      </c>
      <c r="D14" s="3">
        <v>19</v>
      </c>
      <c r="E14" s="3">
        <v>19</v>
      </c>
      <c r="F14" s="3">
        <v>18</v>
      </c>
      <c r="G14" s="3" t="str">
        <v/>
      </c>
      <c r="H14" s="3">
        <v>18</v>
      </c>
      <c r="I14" s="3">
        <f t="shared" si="0"/>
        <v>5</v>
      </c>
      <c r="J14" s="3">
        <f t="shared" si="1"/>
        <v>18.600000000000001</v>
      </c>
    </row>
    <row r="15" spans="1:10" x14ac:dyDescent="0.25">
      <c r="A15" s="3">
        <v>79618</v>
      </c>
      <c r="B15" s="3" t="str">
        <v>ANAÍSA FIRMINO MARTINS DIOGO</v>
      </c>
      <c r="C15" s="3">
        <v>17</v>
      </c>
      <c r="D15" s="3">
        <v>14</v>
      </c>
      <c r="E15" s="3">
        <v>15</v>
      </c>
      <c r="F15" s="3" t="str">
        <v/>
      </c>
      <c r="G15" s="3">
        <v>15</v>
      </c>
      <c r="H15" s="3">
        <v>17</v>
      </c>
      <c r="I15" s="3">
        <f t="shared" si="0"/>
        <v>5</v>
      </c>
      <c r="J15" s="3">
        <f t="shared" si="1"/>
        <v>15.6</v>
      </c>
    </row>
    <row r="16" spans="1:10" x14ac:dyDescent="0.25">
      <c r="A16" s="3">
        <v>79676</v>
      </c>
      <c r="B16" s="3" t="str">
        <v>CATARINA ANA FERNANDES PINTO</v>
      </c>
      <c r="C16" s="3">
        <v>19</v>
      </c>
      <c r="D16" s="3">
        <v>15</v>
      </c>
      <c r="E16" s="3">
        <v>17</v>
      </c>
      <c r="F16" s="3">
        <v>15</v>
      </c>
      <c r="G16" s="3" t="str">
        <v/>
      </c>
      <c r="H16" s="3">
        <v>16</v>
      </c>
      <c r="I16" s="3">
        <f t="shared" si="0"/>
        <v>5</v>
      </c>
      <c r="J16" s="3">
        <f t="shared" si="1"/>
        <v>16.399999999999999</v>
      </c>
    </row>
    <row r="17" spans="1:10" x14ac:dyDescent="0.25">
      <c r="A17" s="3">
        <v>79679</v>
      </c>
      <c r="B17" s="3" t="str">
        <v>LINA SHALAYKO</v>
      </c>
      <c r="C17" s="3">
        <v>18</v>
      </c>
      <c r="D17" s="3">
        <v>15</v>
      </c>
      <c r="E17" s="3">
        <v>16</v>
      </c>
      <c r="F17" s="3">
        <v>14</v>
      </c>
      <c r="G17" s="3" t="str">
        <v/>
      </c>
      <c r="H17" s="3">
        <v>16</v>
      </c>
      <c r="I17" s="3">
        <f t="shared" si="0"/>
        <v>5</v>
      </c>
      <c r="J17" s="3">
        <f t="shared" si="1"/>
        <v>15.8</v>
      </c>
    </row>
    <row r="18" spans="1:10" x14ac:dyDescent="0.25">
      <c r="A18" s="3">
        <v>79684</v>
      </c>
      <c r="B18" s="3" t="str">
        <v>RITA VIEIRA SILVA</v>
      </c>
      <c r="C18" s="3">
        <v>18</v>
      </c>
      <c r="D18" s="3">
        <v>16</v>
      </c>
      <c r="E18" s="3">
        <v>16</v>
      </c>
      <c r="F18" s="3">
        <v>17</v>
      </c>
      <c r="G18" s="3" t="str">
        <v/>
      </c>
      <c r="H18" s="3">
        <v>16</v>
      </c>
      <c r="I18" s="3">
        <f t="shared" si="0"/>
        <v>5</v>
      </c>
      <c r="J18" s="3">
        <f t="shared" si="1"/>
        <v>16.600000000000001</v>
      </c>
    </row>
    <row r="19" spans="1:10" x14ac:dyDescent="0.25">
      <c r="A19" s="3">
        <v>79694</v>
      </c>
      <c r="B19" s="3" t="str">
        <v>ALICE DO CARMO PALMA</v>
      </c>
      <c r="C19" s="3">
        <v>19</v>
      </c>
      <c r="D19" s="3">
        <v>17</v>
      </c>
      <c r="E19" s="3">
        <v>18</v>
      </c>
      <c r="F19" s="3" t="str">
        <v/>
      </c>
      <c r="G19" s="3">
        <v>19</v>
      </c>
      <c r="H19" s="3">
        <v>18</v>
      </c>
      <c r="I19" s="3">
        <f t="shared" si="0"/>
        <v>5</v>
      </c>
      <c r="J19" s="3">
        <f t="shared" si="1"/>
        <v>18.2</v>
      </c>
    </row>
    <row r="20" spans="1:10" x14ac:dyDescent="0.25">
      <c r="A20" s="3">
        <v>80551</v>
      </c>
      <c r="B20" s="3" t="str">
        <v>BEATRIZ ALEXANDRA CAMPOS GONÇALVES</v>
      </c>
      <c r="C20" s="3">
        <v>18</v>
      </c>
      <c r="D20" s="3">
        <v>14</v>
      </c>
      <c r="E20" s="3">
        <v>16</v>
      </c>
      <c r="F20" s="3" t="str">
        <v/>
      </c>
      <c r="G20" s="3">
        <v>17</v>
      </c>
      <c r="H20" s="3">
        <v>17</v>
      </c>
      <c r="I20" s="3">
        <f t="shared" si="0"/>
        <v>5</v>
      </c>
      <c r="J20" s="3">
        <f t="shared" si="1"/>
        <v>16.399999999999999</v>
      </c>
    </row>
    <row r="21" spans="1:10" x14ac:dyDescent="0.25">
      <c r="A21" s="3">
        <v>81402</v>
      </c>
      <c r="B21" s="3" t="str">
        <v>MADALENA LESTON MACHADO PEREIRA</v>
      </c>
      <c r="C21" s="3">
        <v>16</v>
      </c>
      <c r="D21" s="3">
        <v>13</v>
      </c>
      <c r="E21" s="3">
        <v>16</v>
      </c>
      <c r="F21" s="3" t="str">
        <v/>
      </c>
      <c r="G21" s="3">
        <v>15</v>
      </c>
      <c r="H21" s="3">
        <v>17</v>
      </c>
      <c r="I21" s="3">
        <f t="shared" si="0"/>
        <v>5</v>
      </c>
      <c r="J21" s="3">
        <f t="shared" si="1"/>
        <v>15.4</v>
      </c>
    </row>
    <row r="22" spans="1:10" x14ac:dyDescent="0.25">
      <c r="A22" s="3">
        <v>81407</v>
      </c>
      <c r="B22" s="3" t="str">
        <v>CATARINA MOURÃO MARQUES</v>
      </c>
      <c r="C22" s="3">
        <v>17</v>
      </c>
      <c r="D22" s="3">
        <v>14</v>
      </c>
      <c r="E22" s="3">
        <v>14</v>
      </c>
      <c r="F22" s="3" t="str">
        <v/>
      </c>
      <c r="G22" s="3">
        <v>15</v>
      </c>
      <c r="H22" s="3">
        <v>15</v>
      </c>
      <c r="I22" s="3">
        <f t="shared" si="0"/>
        <v>5</v>
      </c>
      <c r="J22" s="3">
        <f t="shared" si="1"/>
        <v>15</v>
      </c>
    </row>
    <row r="23" spans="1:10" x14ac:dyDescent="0.25">
      <c r="A23" s="3">
        <v>81768</v>
      </c>
      <c r="B23" s="3" t="str">
        <v>DANIELA SOFIA RODRIGUES AUGUSTO</v>
      </c>
      <c r="C23" s="3">
        <v>19</v>
      </c>
      <c r="D23" s="3">
        <v>18</v>
      </c>
      <c r="E23" s="3">
        <v>19</v>
      </c>
      <c r="F23" s="3">
        <v>18</v>
      </c>
      <c r="G23" s="3" t="str">
        <v/>
      </c>
      <c r="H23" s="3">
        <v>18</v>
      </c>
      <c r="I23" s="3">
        <f t="shared" si="0"/>
        <v>5</v>
      </c>
      <c r="J23" s="3">
        <f t="shared" si="1"/>
        <v>18.399999999999999</v>
      </c>
    </row>
    <row r="24" spans="1:10" x14ac:dyDescent="0.25">
      <c r="A24" s="24">
        <v>91681</v>
      </c>
      <c r="B24" s="24" t="str">
        <v>JAISMÉLIA PINTO FENIX</v>
      </c>
      <c r="C24" s="24" t="str">
        <v/>
      </c>
      <c r="D24" s="24">
        <v>5</v>
      </c>
      <c r="E24" s="24" t="str">
        <v/>
      </c>
      <c r="F24" s="24" t="str">
        <v/>
      </c>
      <c r="G24" s="24" t="str">
        <v/>
      </c>
      <c r="H24" s="24" t="str">
        <v/>
      </c>
      <c r="I24" s="24">
        <f t="shared" si="0"/>
        <v>1</v>
      </c>
      <c r="J24" s="24">
        <f t="shared" si="1"/>
        <v>5</v>
      </c>
    </row>
    <row r="25" spans="1:10" x14ac:dyDescent="0.25">
      <c r="A25" s="3">
        <v>91683</v>
      </c>
      <c r="B25" s="3" t="str">
        <v>RENAN CARREIRO ALVES</v>
      </c>
      <c r="C25" s="3">
        <v>18</v>
      </c>
      <c r="D25" s="3">
        <v>16</v>
      </c>
      <c r="E25" s="3">
        <v>18</v>
      </c>
      <c r="F25" s="3">
        <v>16</v>
      </c>
      <c r="G25" s="3" t="str">
        <v/>
      </c>
      <c r="H25" s="3">
        <v>18</v>
      </c>
      <c r="I25" s="3">
        <f t="shared" si="0"/>
        <v>5</v>
      </c>
      <c r="J25" s="3">
        <f t="shared" si="1"/>
        <v>17.2</v>
      </c>
    </row>
    <row r="26" spans="1:10" x14ac:dyDescent="0.25">
      <c r="A26" s="24">
        <v>91684</v>
      </c>
      <c r="B26" s="24" t="str">
        <v>MARIA CATHERINE LACERDA ALBUQUERQUE</v>
      </c>
      <c r="C26" s="24">
        <v>16</v>
      </c>
      <c r="D26" s="24" t="str">
        <v/>
      </c>
      <c r="E26" s="24" t="str">
        <v/>
      </c>
      <c r="F26" s="24" t="str">
        <v/>
      </c>
      <c r="G26" s="24" t="str">
        <v/>
      </c>
      <c r="H26" s="24" t="str">
        <v/>
      </c>
      <c r="I26" s="24">
        <f t="shared" si="0"/>
        <v>1</v>
      </c>
      <c r="J26" s="24">
        <f t="shared" si="1"/>
        <v>16</v>
      </c>
    </row>
    <row r="27" spans="1:10" x14ac:dyDescent="0.25">
      <c r="A27" s="3">
        <v>91685</v>
      </c>
      <c r="B27" s="3" t="str">
        <v>ISADORA RODRIGUES ROSSI</v>
      </c>
      <c r="C27" s="3">
        <v>19</v>
      </c>
      <c r="D27" s="3">
        <v>15</v>
      </c>
      <c r="E27" s="3">
        <v>16</v>
      </c>
      <c r="F27" s="3" t="str">
        <v/>
      </c>
      <c r="G27" s="3">
        <v>14</v>
      </c>
      <c r="H27" s="3">
        <v>16</v>
      </c>
      <c r="I27" s="3">
        <f t="shared" si="0"/>
        <v>5</v>
      </c>
      <c r="J27" s="3">
        <f t="shared" si="1"/>
        <v>16</v>
      </c>
    </row>
    <row r="28" spans="1:10" x14ac:dyDescent="0.25">
      <c r="A28" s="3">
        <v>92026</v>
      </c>
      <c r="B28" s="3" t="str">
        <v>LIVIA RUSU</v>
      </c>
      <c r="C28" s="3">
        <v>18</v>
      </c>
      <c r="D28" s="3">
        <v>15</v>
      </c>
      <c r="E28" s="3">
        <v>18</v>
      </c>
      <c r="F28" s="3" t="str">
        <v/>
      </c>
      <c r="G28" s="3">
        <v>17</v>
      </c>
      <c r="H28" s="3">
        <v>18</v>
      </c>
      <c r="I28" s="3">
        <f t="shared" si="0"/>
        <v>5</v>
      </c>
      <c r="J28" s="3">
        <f t="shared" si="1"/>
        <v>17.2</v>
      </c>
    </row>
    <row r="29" spans="1:10" x14ac:dyDescent="0.25">
      <c r="A29" s="3">
        <v>92027</v>
      </c>
      <c r="B29" s="3" t="str">
        <v>SÉRGIO MAURÍCIO RAMADE BORDALLO</v>
      </c>
      <c r="C29" s="3">
        <v>15</v>
      </c>
      <c r="D29" s="3">
        <v>11</v>
      </c>
      <c r="E29" s="3">
        <v>15</v>
      </c>
      <c r="F29" s="3" t="str">
        <v/>
      </c>
      <c r="G29" s="3">
        <v>13</v>
      </c>
      <c r="H29" s="3">
        <v>15</v>
      </c>
      <c r="I29" s="3">
        <f t="shared" si="0"/>
        <v>5</v>
      </c>
      <c r="J29" s="3">
        <f t="shared" si="1"/>
        <v>13.8</v>
      </c>
    </row>
    <row r="30" spans="1:10" x14ac:dyDescent="0.25">
      <c r="A30" s="23">
        <v>92029</v>
      </c>
      <c r="B30" s="23" t="str">
        <v>TELMA CARINA MARCELO FERNANDES</v>
      </c>
      <c r="C30" s="23">
        <v>17</v>
      </c>
      <c r="D30" s="23">
        <v>17</v>
      </c>
      <c r="E30" s="23" t="str">
        <v/>
      </c>
      <c r="F30" s="23">
        <v>16</v>
      </c>
      <c r="G30" s="23" t="str">
        <v/>
      </c>
      <c r="H30" s="23">
        <v>16</v>
      </c>
      <c r="I30" s="23">
        <f t="shared" si="0"/>
        <v>4</v>
      </c>
      <c r="J30" s="23">
        <f t="shared" si="1"/>
        <v>16.5</v>
      </c>
    </row>
    <row r="31" spans="1:10" x14ac:dyDescent="0.25">
      <c r="A31" s="3">
        <v>92244</v>
      </c>
      <c r="B31" s="3" t="str">
        <v>JOANA SOFIA DE MAGALHÃES ANTUNES</v>
      </c>
      <c r="C31" s="3">
        <v>18</v>
      </c>
      <c r="D31" s="3">
        <v>15</v>
      </c>
      <c r="E31" s="3">
        <v>18</v>
      </c>
      <c r="F31" s="3">
        <v>15</v>
      </c>
      <c r="G31" s="3" t="str">
        <v/>
      </c>
      <c r="H31" s="3">
        <v>17</v>
      </c>
      <c r="I31" s="3">
        <f t="shared" si="0"/>
        <v>5</v>
      </c>
      <c r="J31" s="3">
        <f t="shared" si="1"/>
        <v>16.600000000000001</v>
      </c>
    </row>
  </sheetData>
  <phoneticPr fontId="7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7F717-91DC-49DC-96E7-A05E90EEEF94}">
  <dimension ref="A1:D31"/>
  <sheetViews>
    <sheetView tabSelected="1" zoomScale="160" zoomScaleNormal="160" workbookViewId="0">
      <selection activeCell="A2" sqref="A2"/>
    </sheetView>
  </sheetViews>
  <sheetFormatPr defaultRowHeight="15" x14ac:dyDescent="0.25"/>
  <cols>
    <col min="1" max="1" width="13.7109375" customWidth="1"/>
    <col min="2" max="2" width="40.7109375" customWidth="1"/>
    <col min="3" max="3" width="20.7109375" customWidth="1"/>
    <col min="4" max="4" width="11.85546875" bestFit="1" customWidth="1"/>
  </cols>
  <sheetData>
    <row r="1" spans="1:4" x14ac:dyDescent="0.25">
      <c r="A1" s="1" t="s">
        <v>40</v>
      </c>
      <c r="B1" s="1" t="s">
        <v>23</v>
      </c>
      <c r="C1" s="1" t="s">
        <v>39</v>
      </c>
      <c r="D1" s="1" t="s">
        <v>41</v>
      </c>
    </row>
    <row r="2" spans="1:4" x14ac:dyDescent="0.25">
      <c r="A2" s="3" cm="1">
        <f t="array" ref="A2:D31">_xlfn.SORTBY(CHOOSE({1,2,3,4},_xlfn.ANCHORARRAY(AVGs!A2),_xlfn.ANCHORARRAY(AVGs!B2),AVGs!J2:J31,AVGs!I2:I31),AVGs!J2:J31,-1)</f>
        <v>79601</v>
      </c>
      <c r="B2" s="3" t="str">
        <v>INÊS JOSÉ CONDEÇA BARRADAS</v>
      </c>
      <c r="C2" s="3">
        <v>18.600000000000001</v>
      </c>
      <c r="D2" s="3">
        <v>5</v>
      </c>
    </row>
    <row r="3" spans="1:4" x14ac:dyDescent="0.25">
      <c r="A3" s="3">
        <v>81768</v>
      </c>
      <c r="B3" s="3" t="str">
        <v>DANIELA SOFIA RODRIGUES AUGUSTO</v>
      </c>
      <c r="C3" s="3">
        <v>18.399999999999999</v>
      </c>
      <c r="D3" s="3">
        <v>5</v>
      </c>
    </row>
    <row r="4" spans="1:4" x14ac:dyDescent="0.25">
      <c r="A4" s="3">
        <v>71077</v>
      </c>
      <c r="B4" s="3" t="str">
        <v>SOFIA MARGARIDA LEITE GONÇALVES</v>
      </c>
      <c r="C4" s="3">
        <v>18.2</v>
      </c>
      <c r="D4" s="3">
        <v>5</v>
      </c>
    </row>
    <row r="5" spans="1:4" x14ac:dyDescent="0.25">
      <c r="A5" s="3">
        <v>79694</v>
      </c>
      <c r="B5" s="3" t="str">
        <v>ALICE DO CARMO PALMA</v>
      </c>
      <c r="C5" s="3">
        <v>18.2</v>
      </c>
      <c r="D5" s="3">
        <v>5</v>
      </c>
    </row>
    <row r="6" spans="1:4" x14ac:dyDescent="0.25">
      <c r="A6" s="3">
        <v>61482</v>
      </c>
      <c r="B6" s="3" t="str">
        <v>JESSICA ALEXANDRA SANTOS PALMEIRO</v>
      </c>
      <c r="C6" s="3">
        <v>18</v>
      </c>
      <c r="D6" s="3">
        <v>5</v>
      </c>
    </row>
    <row r="7" spans="1:4" x14ac:dyDescent="0.25">
      <c r="A7" s="3">
        <v>79585</v>
      </c>
      <c r="B7" s="3" t="str">
        <v>CATARINA ISABEL MARTINS ENCARNAÇÃO</v>
      </c>
      <c r="C7" s="3">
        <v>17.600000000000001</v>
      </c>
      <c r="D7" s="3">
        <v>5</v>
      </c>
    </row>
    <row r="8" spans="1:4" x14ac:dyDescent="0.25">
      <c r="A8" s="3">
        <v>75293</v>
      </c>
      <c r="B8" s="3" t="str">
        <v>JOÃO PEDRO CANTANTE CORDEIRO</v>
      </c>
      <c r="C8" s="3">
        <v>17.2</v>
      </c>
      <c r="D8" s="3">
        <v>5</v>
      </c>
    </row>
    <row r="9" spans="1:4" x14ac:dyDescent="0.25">
      <c r="A9" s="3">
        <v>91683</v>
      </c>
      <c r="B9" s="3" t="str">
        <v>RENAN CARREIRO ALVES</v>
      </c>
      <c r="C9" s="3">
        <v>17.2</v>
      </c>
      <c r="D9" s="3">
        <v>5</v>
      </c>
    </row>
    <row r="10" spans="1:4" x14ac:dyDescent="0.25">
      <c r="A10" s="3">
        <v>92026</v>
      </c>
      <c r="B10" s="3" t="str">
        <v>LIVIA RUSU</v>
      </c>
      <c r="C10" s="3">
        <v>17.2</v>
      </c>
      <c r="D10" s="3">
        <v>5</v>
      </c>
    </row>
    <row r="11" spans="1:4" x14ac:dyDescent="0.25">
      <c r="A11" s="3">
        <v>79511</v>
      </c>
      <c r="B11" s="3" t="str">
        <v>DANIELA SOFIA GUIA LOPES CALHAU</v>
      </c>
      <c r="C11" s="3">
        <v>17</v>
      </c>
      <c r="D11" s="3">
        <v>5</v>
      </c>
    </row>
    <row r="12" spans="1:4" x14ac:dyDescent="0.25">
      <c r="A12" s="3">
        <v>50056</v>
      </c>
      <c r="B12" s="3" t="str">
        <v>JANETE LOURENÇO GUERREIRO</v>
      </c>
      <c r="C12" s="3">
        <v>16.8</v>
      </c>
      <c r="D12" s="3">
        <v>5</v>
      </c>
    </row>
    <row r="13" spans="1:4" x14ac:dyDescent="0.25">
      <c r="A13" s="3">
        <v>79545</v>
      </c>
      <c r="B13" s="3" t="str">
        <v>DIOGO ALEXANDRE TREJEIRA SERRA</v>
      </c>
      <c r="C13" s="3">
        <v>16.8</v>
      </c>
      <c r="D13" s="3">
        <v>5</v>
      </c>
    </row>
    <row r="14" spans="1:4" x14ac:dyDescent="0.25">
      <c r="A14" s="3">
        <v>79684</v>
      </c>
      <c r="B14" s="3" t="str">
        <v>RITA VIEIRA SILVA</v>
      </c>
      <c r="C14" s="3">
        <v>16.600000000000001</v>
      </c>
      <c r="D14" s="3">
        <v>5</v>
      </c>
    </row>
    <row r="15" spans="1:4" x14ac:dyDescent="0.25">
      <c r="A15" s="3">
        <v>92244</v>
      </c>
      <c r="B15" s="3" t="str">
        <v>JOANA SOFIA DE MAGALHÃES ANTUNES</v>
      </c>
      <c r="C15" s="3">
        <v>16.600000000000001</v>
      </c>
      <c r="D15" s="3">
        <v>5</v>
      </c>
    </row>
    <row r="16" spans="1:4" x14ac:dyDescent="0.25">
      <c r="A16" s="26">
        <v>92029</v>
      </c>
      <c r="B16" s="26" t="str">
        <v>TELMA CARINA MARCELO FERNANDES</v>
      </c>
      <c r="C16" s="26">
        <v>16.5</v>
      </c>
      <c r="D16" s="26">
        <v>4</v>
      </c>
    </row>
    <row r="17" spans="1:4" x14ac:dyDescent="0.25">
      <c r="A17" s="3">
        <v>37840</v>
      </c>
      <c r="B17" s="3" t="str">
        <v>CAROLINA VELHINHO DE ABREU PIMENTA</v>
      </c>
      <c r="C17" s="3">
        <v>16.399999999999999</v>
      </c>
      <c r="D17" s="3">
        <v>5</v>
      </c>
    </row>
    <row r="18" spans="1:4" x14ac:dyDescent="0.25">
      <c r="A18" s="3">
        <v>79676</v>
      </c>
      <c r="B18" s="3" t="str">
        <v>CATARINA ANA FERNANDES PINTO</v>
      </c>
      <c r="C18" s="3">
        <v>16.399999999999999</v>
      </c>
      <c r="D18" s="3">
        <v>5</v>
      </c>
    </row>
    <row r="19" spans="1:4" x14ac:dyDescent="0.25">
      <c r="A19" s="3">
        <v>80551</v>
      </c>
      <c r="B19" s="3" t="str">
        <v>BEATRIZ ALEXANDRA CAMPOS GONÇALVES</v>
      </c>
      <c r="C19" s="3">
        <v>16.399999999999999</v>
      </c>
      <c r="D19" s="3">
        <v>5</v>
      </c>
    </row>
    <row r="20" spans="1:4" x14ac:dyDescent="0.25">
      <c r="A20" s="26">
        <v>43962</v>
      </c>
      <c r="B20" s="26" t="str">
        <v>RITA ISABEL DUARTE CAVACO</v>
      </c>
      <c r="C20" s="26">
        <v>16</v>
      </c>
      <c r="D20" s="26">
        <v>4</v>
      </c>
    </row>
    <row r="21" spans="1:4" x14ac:dyDescent="0.25">
      <c r="A21" s="3">
        <v>75206</v>
      </c>
      <c r="B21" s="3" t="str">
        <v>MARIANA FILIPA COELHO GONÇALVES</v>
      </c>
      <c r="C21" s="3">
        <v>16</v>
      </c>
      <c r="D21" s="3">
        <v>5</v>
      </c>
    </row>
    <row r="22" spans="1:4" x14ac:dyDescent="0.25">
      <c r="A22" s="26">
        <v>91684</v>
      </c>
      <c r="B22" s="26" t="str">
        <v>MARIA CATHERINE LACERDA ALBUQUERQUE</v>
      </c>
      <c r="C22" s="26">
        <v>16</v>
      </c>
      <c r="D22" s="26">
        <v>1</v>
      </c>
    </row>
    <row r="23" spans="1:4" x14ac:dyDescent="0.25">
      <c r="A23" s="3">
        <v>91685</v>
      </c>
      <c r="B23" s="3" t="str">
        <v>ISADORA RODRIGUES ROSSI</v>
      </c>
      <c r="C23" s="3">
        <v>16</v>
      </c>
      <c r="D23" s="3">
        <v>5</v>
      </c>
    </row>
    <row r="24" spans="1:4" x14ac:dyDescent="0.25">
      <c r="A24" s="3">
        <v>79679</v>
      </c>
      <c r="B24" s="3" t="str">
        <v>LINA SHALAYKO</v>
      </c>
      <c r="C24" s="3">
        <v>15.8</v>
      </c>
      <c r="D24" s="3">
        <v>5</v>
      </c>
    </row>
    <row r="25" spans="1:4" x14ac:dyDescent="0.25">
      <c r="A25" s="3">
        <v>79618</v>
      </c>
      <c r="B25" s="3" t="str">
        <v>ANAÍSA FIRMINO MARTINS DIOGO</v>
      </c>
      <c r="C25" s="3">
        <v>15.6</v>
      </c>
      <c r="D25" s="3">
        <v>5</v>
      </c>
    </row>
    <row r="26" spans="1:4" x14ac:dyDescent="0.25">
      <c r="A26" s="3">
        <v>76045</v>
      </c>
      <c r="B26" s="3" t="str">
        <v>CÁTIA SOFIA ROQUE DIAS</v>
      </c>
      <c r="C26" s="3">
        <v>15.4</v>
      </c>
      <c r="D26" s="3">
        <v>5</v>
      </c>
    </row>
    <row r="27" spans="1:4" x14ac:dyDescent="0.25">
      <c r="A27" s="3">
        <v>81402</v>
      </c>
      <c r="B27" s="3" t="str">
        <v>MADALENA LESTON MACHADO PEREIRA</v>
      </c>
      <c r="C27" s="3">
        <v>15.4</v>
      </c>
      <c r="D27" s="3">
        <v>5</v>
      </c>
    </row>
    <row r="28" spans="1:4" x14ac:dyDescent="0.25">
      <c r="A28" s="3">
        <v>81407</v>
      </c>
      <c r="B28" s="3" t="str">
        <v>CATARINA MOURÃO MARQUES</v>
      </c>
      <c r="C28" s="3">
        <v>15</v>
      </c>
      <c r="D28" s="3">
        <v>5</v>
      </c>
    </row>
    <row r="29" spans="1:4" x14ac:dyDescent="0.25">
      <c r="A29" s="26">
        <v>25427</v>
      </c>
      <c r="B29" s="26" t="str">
        <v>TERESA MARIA BRANCO CANDEIAS</v>
      </c>
      <c r="C29" s="26">
        <v>14.333333333333334</v>
      </c>
      <c r="D29" s="26">
        <v>3</v>
      </c>
    </row>
    <row r="30" spans="1:4" x14ac:dyDescent="0.25">
      <c r="A30" s="3">
        <v>92027</v>
      </c>
      <c r="B30" s="3" t="str">
        <v>SÉRGIO MAURÍCIO RAMADE BORDALLO</v>
      </c>
      <c r="C30" s="3">
        <v>13.8</v>
      </c>
      <c r="D30" s="3">
        <v>5</v>
      </c>
    </row>
    <row r="31" spans="1:4" x14ac:dyDescent="0.25">
      <c r="A31" s="26">
        <v>91681</v>
      </c>
      <c r="B31" s="26" t="str">
        <v>JAISMÉLIA PINTO FENIX</v>
      </c>
      <c r="C31" s="26">
        <v>5</v>
      </c>
      <c r="D31" s="26">
        <v>1</v>
      </c>
    </row>
  </sheetData>
  <conditionalFormatting sqref="A2:D31">
    <cfRule type="expression" dxfId="0" priority="1">
      <formula>$D2&lt;5</formula>
    </cfRule>
  </conditionalFormatting>
  <printOptions horizontalCentered="1"/>
  <pageMargins left="0.3" right="0.3" top="0.75" bottom="0.75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FAE75A0-71FB-4F05-A7B6-43DF802969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Student Names</vt:lpstr>
      <vt:lpstr>Pauta 1</vt:lpstr>
      <vt:lpstr>Pauta 2</vt:lpstr>
      <vt:lpstr>Pauta 3</vt:lpstr>
      <vt:lpstr>Pauta 4</vt:lpstr>
      <vt:lpstr>Pauta 5</vt:lpstr>
      <vt:lpstr>Pauta 6</vt:lpstr>
      <vt:lpstr>Exam 1</vt:lpstr>
      <vt:lpstr>Exam 2</vt:lpstr>
      <vt:lpstr>Exam 3</vt:lpstr>
      <vt:lpstr>Exam 4</vt:lpstr>
      <vt:lpstr>Exam 5</vt:lpstr>
      <vt:lpstr>Exam 6</vt:lpstr>
      <vt:lpstr>AVGs</vt:lpstr>
      <vt:lpstr>Ranking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Martins</dc:creator>
  <cp:lastModifiedBy>João Martins</cp:lastModifiedBy>
  <cp:lastPrinted>2026-08-14T01:08:10Z</cp:lastPrinted>
  <dcterms:created xsi:type="dcterms:W3CDTF">2015-06-05T18:17:20Z</dcterms:created>
  <dcterms:modified xsi:type="dcterms:W3CDTF">2026-08-17T15:08:56Z</dcterms:modified>
</cp:coreProperties>
</file>